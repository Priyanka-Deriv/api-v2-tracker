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 Board" sheetId="1" state="visible" r:id="rId3"/>
    <sheet name="Dashboard" sheetId="2" state="visible" r:id="rId4"/>
    <sheet name="Team Scratchpad" sheetId="3" state="visible" r:id="rId5"/>
    <sheet name="Sync Log" sheetId="4" state="visible" r:id="rId6"/>
    <sheet name="Sync Config" sheetId="5" state="visible" r:id="rId7"/>
  </sheets>
  <definedNames>
    <definedName function="false" hidden="true" localSheetId="0" name="_xlnm._FilterDatabase" vbProcedure="false">'Tracker Board'!$A$1:$K$52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<sst xmlns="http://schemas.openxmlformats.org/spreadsheetml/2006/main" count="713" uniqueCount="282">
  <si>
    <t xml:space="preserve">ID</t>
  </si>
  <si>
    <t xml:space="preserve">Title</t>
  </si>
  <si>
    <t xml:space="preserve">Owner</t>
  </si>
  <si>
    <t xml:space="preserve">Type</t>
  </si>
  <si>
    <t xml:space="preserve">Status</t>
  </si>
  <si>
    <t xml:space="preserve">Priority</t>
  </si>
  <si>
    <t xml:space="preserve">Team</t>
  </si>
  <si>
    <t xml:space="preserve">Source</t>
  </si>
  <si>
    <t xml:space="preserve">Notes</t>
  </si>
  <si>
    <t xml:space="preserve">Created</t>
  </si>
  <si>
    <t xml:space="preserve">Updated</t>
  </si>
  <si>
    <t xml:space="preserve">Fix account switcher on template project</t>
  </si>
  <si>
    <t xml:space="preserve">Muhammad Ahmed</t>
  </si>
  <si>
    <t xml:space="preserve">Bug/Fix</t>
  </si>
  <si>
    <t xml:space="preserve">In Progress</t>
  </si>
  <si>
    <t xml:space="preserve">High</t>
  </si>
  <si>
    <t xml:space="preserve">Core API Team</t>
  </si>
  <si>
    <t xml:space="preserve">Zoom - API Design &amp; FE Updates (Mar 2)</t>
  </si>
  <si>
    <t xml:space="preserve">Code is on staging, needs to be updated in template project. Test and release once merged.</t>
  </si>
  <si>
    <t xml:space="preserve">2026-03-02</t>
  </si>
  <si>
    <t xml:space="preserve">Test 5% markup on .be and .me environments</t>
  </si>
  <si>
    <t xml:space="preserve">Priyanka</t>
  </si>
  <si>
    <t xml:space="preserve">Action Item</t>
  </si>
  <si>
    <t xml:space="preserve">5% markup working on staging. Need to verify on B and ME environments before production.</t>
  </si>
  <si>
    <t xml:space="preserve">Coordinate with Kirill to merge 5% markup to production</t>
  </si>
  <si>
    <t xml:space="preserve">Auth / Backend</t>
  </si>
  <si>
    <t xml:space="preserve">Frontend update depends on Kirill's backend PR being deployed first.</t>
  </si>
  <si>
    <t xml:space="preserve">Finalize and send developer communication email</t>
  </si>
  <si>
    <t xml:space="preserve">HubSpot / Marketing</t>
  </si>
  <si>
    <t xml:space="preserve">Zoom - Daily Catchup (Mar 2)</t>
  </si>
  <si>
    <t xml:space="preserve">HTML and simplified versions prepared. Include new email ID requirement for account creation. Needs Ashkan's line-by-line review before sending.</t>
  </si>
  <si>
    <t xml:space="preserve">Deprioritize .me and .be domains — focus on .com</t>
  </si>
  <si>
    <t xml:space="preserve">Ashkan</t>
  </si>
  <si>
    <t xml:space="preserve">Product Decision</t>
  </si>
  <si>
    <t xml:space="preserve">Done</t>
  </si>
  <si>
    <t xml:space="preserve">Ongoing technical problems with .me and .be. Post note in team chat confirming focus on .com.</t>
  </si>
  <si>
    <t xml:space="preserve">Lipika to start Connected Apps on trader's dashboard</t>
  </si>
  <si>
    <t xml:space="preserve">Lipika</t>
  </si>
  <si>
    <t xml:space="preserve">Backlog</t>
  </si>
  <si>
    <t xml:space="preserve">Connected Apps first, API token tasks to follow. Ashkan to share task list for Lipika's team.</t>
  </si>
  <si>
    <t xml:space="preserve">Push back on mandatory 2FA for PAT creation</t>
  </si>
  <si>
    <t xml:space="preserve">Medium</t>
  </si>
  <si>
    <t xml:space="preserve">Poor UX concern. Park the requirement for later discussion with Security team.</t>
  </si>
  <si>
    <t xml:space="preserve">Investigate app_id trade-capture gap in OptionDB</t>
  </si>
  <si>
    <t xml:space="preserve">Eswara Battula</t>
  </si>
  <si>
    <t xml:space="preserve">Blocked</t>
  </si>
  <si>
    <t xml:space="preserve">BI / Data</t>
  </si>
  <si>
    <t xml:space="preserve">Overseer - Zoom Meeting (Mar 2)</t>
  </si>
  <si>
    <t xml:space="preserve">V2 app IDs (alphanumeric) not appearing in OptionDB. Legacy numeric app_id showing instead. Eswara to confirm with Data Engineering how V2 app IDs are persisted. BLOCKER: Cannot do post-migration reporting without this fix.</t>
  </si>
  <si>
    <t xml:space="preserve">Escalate missing V2 app_id in OptionDB to JB</t>
  </si>
  <si>
    <t xml:space="preserve">Post in channel summarizing that v2 app IDs are not present in OptionDB trade data. Tag JB, CC Priyanka and Eswara.</t>
  </si>
  <si>
    <t xml:space="preserve">Add detailed OptionDB query examples to escalation thread</t>
  </si>
  <si>
    <t xml:space="preserve">Reply in thread with sample queries, tables, examples showing legacy numeric app_id and missing v2 identifier.</t>
  </si>
  <si>
    <t xml:space="preserve">Remove redundant X button from UI</t>
  </si>
  <si>
    <t xml:space="preserve">Design (Figma)</t>
  </si>
  <si>
    <t xml:space="preserve">X button was not in approved design. Approve and communicate removal to implementing team.</t>
  </si>
  <si>
    <t xml:space="preserve">Fix permissions list not reflecting requested permissions</t>
  </si>
  <si>
    <t xml:space="preserve">Permissions list mismatch. Investigate and provide fix or change request.</t>
  </si>
  <si>
    <t xml:space="preserve">Update dev documentation: distinguish app ID from client_id</t>
  </si>
  <si>
    <t xml:space="preserve">Documentation</t>
  </si>
  <si>
    <t xml:space="preserve">Internal documentation must clearly distinguish app ID (alphanumeric) from client_id parameter used with core.</t>
  </si>
  <si>
    <t xml:space="preserve">Provide test account/client IDs to Eswara for trade validation</t>
  </si>
  <si>
    <t xml:space="preserve">Send correct test account details to validate trades and confirm what identifier appears in OptionDB.</t>
  </si>
  <si>
    <t xml:space="preserve">Clarify decision: cashier/P2P APIs remain internal</t>
  </si>
  <si>
    <t xml:space="preserve">Write comment in channel clarifying decision not to expose cashier and P2P APIs externally. Address queries from Sephan and Rakshish.</t>
  </si>
  <si>
    <t xml:space="preserve">Share PAT task list for Lipika's team</t>
  </si>
  <si>
    <t xml:space="preserve">Include PAT creation and revocation inside Trader's Hub. Connected Apps implementation first.</t>
  </si>
  <si>
    <t xml:space="preserve">Manros: finalize app builder design review</t>
  </si>
  <si>
    <t xml:space="preserve">Manros</t>
  </si>
  <si>
    <t xml:space="preserve">Review</t>
  </si>
  <si>
    <t xml:space="preserve">Complete final review so Nigel can pick it up this week.</t>
  </si>
  <si>
    <t xml:space="preserve">Coordinate affiliate tagging for March commissions</t>
  </si>
  <si>
    <t xml:space="preserve">Partners / Biz Dev</t>
  </si>
  <si>
    <t xml:space="preserve">Coordinate with Kirill and relevant teams to finalize when affiliate tagging can be added for partners.</t>
  </si>
  <si>
    <t xml:space="preserve">Coordinate with Kirill to provide details to Govi</t>
  </si>
  <si>
    <t xml:space="preserve">Required details for commission calculation.</t>
  </si>
  <si>
    <t xml:space="preserve">Prepare sunset date communication email</t>
  </si>
  <si>
    <t xml:space="preserve">Meeting - AN-PS (Feb 25)</t>
  </si>
  <si>
    <t xml:space="preserve">Coordinate setup with Manahil in HubSpot. Email needs proofreading by Ashkan, Rakshit, Prakash, and Azita before sending.</t>
  </si>
  <si>
    <t xml:space="preserve">Follow up with Aline (compliance) on required links</t>
  </si>
  <si>
    <t xml:space="preserve">Compliance / Legal</t>
  </si>
  <si>
    <t xml:space="preserve">Get required links and update as needed for compliance requirements.</t>
  </si>
  <si>
    <t xml:space="preserve">Remove payment agent option from legacy API signup</t>
  </si>
  <si>
    <t xml:space="preserve">In Review</t>
  </si>
  <si>
    <t xml:space="preserve">Meeting - AM-PS (Feb 24)</t>
  </si>
  <si>
    <t xml:space="preserve">Keep only affiliate option. Priyanka to test login and signup flow after changes. Push to production when ready.</t>
  </si>
  <si>
    <t xml:space="preserve">Add TNC to current dashboard before 5% markup push</t>
  </si>
  <si>
    <t xml:space="preserve">Meeting - API Design &amp; FE Updates (Feb 25)</t>
  </si>
  <si>
    <t xml:space="preserve">New terms and conditions to be added to current dashboard. Must be done when 5% markup is pushed.</t>
  </si>
  <si>
    <t xml:space="preserve">Implement email notification on app registration</t>
  </si>
  <si>
    <t xml:space="preserve">Backend team</t>
  </si>
  <si>
    <t xml:space="preserve">When new app is registered, email with T&amp;C sent to user. Triggered on app creation event. Priyanka to coordinate with Kirill to identify the event.</t>
  </si>
  <si>
    <t xml:space="preserve">Remove AI disclaimer from V2</t>
  </si>
  <si>
    <t xml:space="preserve">Low</t>
  </si>
  <si>
    <t xml:space="preserve">Ashkan requested removal. Priyanka to convey to compliance and handle.</t>
  </si>
  <si>
    <t xml:space="preserve">Update OAuth consent page content and design</t>
  </si>
  <si>
    <t xml:space="preserve">Minor change. Not blocking but needs coordination with Lepika/Swissen/Aizat. New text provided, Manros creating new design.</t>
  </si>
  <si>
    <t xml:space="preserve">V2 commission calculation: exclude app markup to prevent overpayment</t>
  </si>
  <si>
    <t xml:space="preserve">Ying Shan</t>
  </si>
  <si>
    <t xml:space="preserve">Meeting - Commissions (Feb 24)</t>
  </si>
  <si>
    <t xml:space="preserve">Remind Govi to ensure V2 option commission calculations exclude app markup amount. Critical to avoid overpaying partners.</t>
  </si>
  <si>
    <t xml:space="preserve">Check JB validation for markup values above 3%</t>
  </si>
  <si>
    <t xml:space="preserve">Message JP to double check if validation would reject markup/commission values above 3% before proceeding with 5% update.</t>
  </si>
  <si>
    <t xml:space="preserve">Schedule follow-up with Tristan and Govi on partner commissions</t>
  </si>
  <si>
    <t xml:space="preserve">Assign responsibility and coordinate calculation/handling of partner commissions for V2. Need to finalize within 1-2 weeks.</t>
  </si>
  <si>
    <t xml:space="preserve">Talk to Bilal about linking Deriv accounts to partner accounts</t>
  </si>
  <si>
    <t xml:space="preserve">Users need universal identity for dev portal and partner site. Will help solve payment-related issues.</t>
  </si>
  <si>
    <t xml:space="preserve">Confirm V2 captures all commission/markup data per trade</t>
  </si>
  <si>
    <t xml:space="preserve">Kok (JB)</t>
  </si>
  <si>
    <t xml:space="preserve">Double check that V2 records all necessary commission/markup data and no validation prevents values above 3%.</t>
  </si>
  <si>
    <t xml:space="preserve">Cloudflare configuration for V2-enabled country routing</t>
  </si>
  <si>
    <t xml:space="preserve">DevOps / IT Ops</t>
  </si>
  <si>
    <t xml:space="preserve">Meeting - MA-PS (Feb 24)</t>
  </si>
  <si>
    <t xml:space="preserve">V2 users need manual redirect to legacy API to see banner and sign up. Tag Amam to prioritize. BLOCKER: Waiting on Amam's effort estimate.</t>
  </si>
  <si>
    <t xml:space="preserve">Add TNC checkbox per app in registration flow</t>
  </si>
  <si>
    <t xml:space="preserve">Meeting - Manros-PS (Feb 25)</t>
  </si>
  <si>
    <t xml:space="preserve">Required checkbox for T&amp;C acceptance during app registration. Apply to both beta dashboard and new dashboard. Per-app, not per-user.</t>
  </si>
  <si>
    <t xml:space="preserve">Provide legacy API link description to Muhammad</t>
  </si>
  <si>
    <t xml:space="preserve">Meeting - MA-PS (Feb 25)</t>
  </si>
  <si>
    <t xml:space="preserve">One-liner description for Legacy API link with external link icon. Muhammad to incorporate into PR.</t>
  </si>
  <si>
    <t xml:space="preserve">Disable Telegram channel public discussions</t>
  </si>
  <si>
    <t xml:space="preserve">Support (Intercom)</t>
  </si>
  <si>
    <t xml:space="preserve">Direct users to submit tickets for questions. Handle inquiries privately. Agreed to consult with Varun on communication strategy.</t>
  </si>
  <si>
    <t xml:space="preserve">Coordinate release with Roanoke — all traffic to legacy-api.dev.com</t>
  </si>
  <si>
    <t xml:space="preserve">Unified release strategy. All traffic goes to legacy-api.dev.com initially.</t>
  </si>
  <si>
    <t xml:space="preserve">Point new signups to developers.deriv.com once stable</t>
  </si>
  <si>
    <t xml:space="preserve">After confidence in new setup (Thursday/Friday or when stable). Coordinate with deriv.com team.</t>
  </si>
  <si>
    <t xml:space="preserve">Kirill: provide eventbus endpoints for app state replication</t>
  </si>
  <si>
    <t xml:space="preserve">Kirill</t>
  </si>
  <si>
    <t xml:space="preserve">Slack - #task_apiv2_markupcommissions</t>
  </si>
  <si>
    <t xml:space="preserve">Endpoints shared: devhub.app_created.v1, devhub.app_updated.v1. Data to be provided to Govi.</t>
  </si>
  <si>
    <t xml:space="preserve">Provide data to Govi for commission calculation</t>
  </si>
  <si>
    <t xml:space="preserve">Kirill / Ying Shan</t>
  </si>
  <si>
    <t xml:space="preserve">Priyanka asked Kirill and Ying Shan to provide data to Govi.</t>
  </si>
  <si>
    <t xml:space="preserve">Handle partner complaints about 5% rollout via direct calls</t>
  </si>
  <si>
    <t xml:space="preserve">Prepare responses and join partner calls. Confirm P2P signup support in messaging.</t>
  </si>
  <si>
    <t xml:space="preserve">Octomind test integration for DAPI-905</t>
  </si>
  <si>
    <t xml:space="preserve">Bertrand</t>
  </si>
  <si>
    <t xml:space="preserve">Slack - #task_api_v2_website</t>
  </si>
  <si>
    <t xml:space="preserve">Bertrand working on Octomind test integration.</t>
  </si>
  <si>
    <t xml:space="preserve">Fix staging URLs for deriv.be/deriv.me</t>
  </si>
  <si>
    <t xml:space="preserve">Matin</t>
  </si>
  <si>
    <t xml:space="preserve">Ongoing issues with staging URLs. Now deprioritized per today's decision to focus on .com.</t>
  </si>
  <si>
    <t xml:space="preserve">Fix CNAME/redirect issues</t>
  </si>
  <si>
    <t xml:space="preserve">Prince</t>
  </si>
  <si>
    <t xml:space="preserve">CNAME and redirect issues being addressed.</t>
  </si>
  <si>
    <t xml:space="preserve">Design migration banner and dashboard</t>
  </si>
  <si>
    <t xml:space="preserve">Migration banner design for developers.deriv.com.</t>
  </si>
  <si>
    <t xml:space="preserve">Review Priyanka's announcement email line by line</t>
  </si>
  <si>
    <t xml:space="preserve">Return feedback/approval on HTML and simplified versions of the Rediff API announcement email.</t>
  </si>
  <si>
    <t xml:space="preserve">JP to review trade-capture path for testing app_id</t>
  </si>
  <si>
    <t xml:space="preserve">JP</t>
  </si>
  <si>
    <t xml:space="preserve">Dependency: Assessment of options trade-capture for app_id (testing app) and remediation plan.</t>
  </si>
  <si>
    <t xml:space="preserve">Duplicate account policy: communicate SOP changes</t>
  </si>
  <si>
    <t xml:space="preserve">Slack - #api_customer_support</t>
  </si>
  <si>
    <t xml:space="preserve">Discussions with Ashkan, Dmitry about duplicate account policy for API developers. SOP changes needed for V1 vs V2 ticket routing.</t>
  </si>
  <si>
    <t xml:space="preserve">Set up Intercom inbox automation for api-support@deriv.com</t>
  </si>
  <si>
    <t xml:space="preserve">Dmitry</t>
  </si>
  <si>
    <t xml:space="preserve">Automate API support ticket routing.</t>
  </si>
  <si>
    <t xml:space="preserve">Send first incentive communication to top 50 developers</t>
  </si>
  <si>
    <t xml:space="preserve">V1 total + 20% on V2. Target V2-enabled countries. Separate communication to all developers on Monday.</t>
  </si>
  <si>
    <t xml:space="preserve">Prepare timeline for 5% markup revert to 3%</t>
  </si>
  <si>
    <t xml:space="preserve">5% through March or April, then revert to 3%. Need clear timeline communicated to partners.</t>
  </si>
  <si>
    <t xml:space="preserve">Update documentation: make 5% markup commission more visible</t>
  </si>
  <si>
    <t xml:space="preserve">Meeting - AN-PS (Feb 23)</t>
  </si>
  <si>
    <t xml:space="preserve">Update the documentation as discussed to highlight the 5% markup commission.</t>
  </si>
  <si>
    <t xml:space="preserve">Deriv API V2 — Live Team Tracker</t>
  </si>
  <si>
    <t xml:space="preserve">Last sync: Mar 2, 2026 3:30 PM · Sources: Slack (7 ch) · Overseer · Zoom · Project Files</t>
  </si>
  <si>
    <t xml:space="preserve">By Team</t>
  </si>
  <si>
    <t xml:space="preserve">Total</t>
  </si>
  <si>
    <t xml:space="preserve">By Owner</t>
  </si>
  <si>
    <t xml:space="preserve">High Priority</t>
  </si>
  <si>
    <t xml:space="preserve">Team Scratchpad — Open Questions, Decisions &amp; Dependencies</t>
  </si>
  <si>
    <t xml:space="preserve">Open Questions</t>
  </si>
  <si>
    <t xml:space="preserve">Decisions Made</t>
  </si>
  <si>
    <t xml:space="preserve">Dependencies</t>
  </si>
  <si>
    <t xml:space="preserve">  1</t>
  </si>
  <si>
    <t xml:space="preserve">Should we support .me and .be or fully deprioritize?</t>
  </si>
  <si>
    <t xml:space="preserve">Deprioritize .me and .be — focus on .com</t>
  </si>
  <si>
    <t xml:space="preserve">JB: Store V2 app_id in OptionDB</t>
  </si>
  <si>
    <t xml:space="preserve">  2</t>
  </si>
  <si>
    <t xml:space="preserve">When will new signups be pointed to developers.deriv.com?</t>
  </si>
  <si>
    <t xml:space="preserve">Cashier/P2P APIs remain internal</t>
  </si>
  <si>
    <t xml:space="preserve">Kirill: Backend PR for 5% markup</t>
  </si>
  <si>
    <t xml:space="preserve">  3</t>
  </si>
  <si>
    <t xml:space="preserve">What is the timeline for 5% markup revert to 3%?</t>
  </si>
  <si>
    <t xml:space="preserve">Ahmed: Account switcher fix</t>
  </si>
  <si>
    <t xml:space="preserve">  4</t>
  </si>
  <si>
    <t xml:space="preserve">5% markup live — revert to 3% in April</t>
  </si>
  <si>
    <t xml:space="preserve">JP: Trade-capture path review</t>
  </si>
  <si>
    <t xml:space="preserve">How are V2 app IDs persisted in trading data?</t>
  </si>
  <si>
    <t xml:space="preserve">Post-migration measured by trading KPIs not signups</t>
  </si>
  <si>
    <t xml:space="preserve">Data Engineering: V2 app ID persistence</t>
  </si>
  <si>
    <t xml:space="preserve">Is markup recorded for alphanumeric app IDs?</t>
  </si>
  <si>
    <t xml:space="preserve">Legacy numeric app_id cannot be used for V2 reporting</t>
  </si>
  <si>
    <t xml:space="preserve">Core team (Ronak): Column mapping and backfill</t>
  </si>
  <si>
    <t xml:space="preserve">Will JB validation reject markup above 3%?</t>
  </si>
  <si>
    <t xml:space="preserve">Lipika starts Connected Apps first, API tokens follow</t>
  </si>
  <si>
    <t xml:space="preserve">Kirill: 5% backend PR to production</t>
  </si>
  <si>
    <t xml:space="preserve">When can Lipika start Connected Apps?</t>
  </si>
  <si>
    <t xml:space="preserve">Email notification on app registration with T&amp;C</t>
  </si>
  <si>
    <t xml:space="preserve">Kirill: Eventbus endpoints data to Govi</t>
  </si>
  <si>
    <t xml:space="preserve">Who calculates V2 partner commissions long-term?</t>
  </si>
  <si>
    <t xml:space="preserve">5% commission (temp), revert to 3% later</t>
  </si>
  <si>
    <t xml:space="preserve">Govi: V2 markup payment handling</t>
  </si>
  <si>
    <t xml:space="preserve">How to link dev accounts to partner accounts?</t>
  </si>
  <si>
    <t xml:space="preserve">Extra 2% from client's bucket, not company's</t>
  </si>
  <si>
    <t xml:space="preserve">Bilal: Account linking</t>
  </si>
  <si>
    <t xml:space="preserve">Tristan: Commission process</t>
  </si>
  <si>
    <t xml:space="preserve">When is HubSpot email setup ready?</t>
  </si>
  <si>
    <t xml:space="preserve">Email needs multi-level review before sending</t>
  </si>
  <si>
    <t xml:space="preserve">Manahel: HubSpot setup</t>
  </si>
  <si>
    <t xml:space="preserve">Top developers first, then all developers</t>
  </si>
  <si>
    <t xml:space="preserve">Ashkan: Line-by-line email review</t>
  </si>
  <si>
    <t xml:space="preserve">Where to place T&amp;C in new dashboard?</t>
  </si>
  <si>
    <t xml:space="preserve">T&amp;C checkbox per app, not per user</t>
  </si>
  <si>
    <t xml:space="preserve">Manros: App builder design for Nigel</t>
  </si>
  <si>
    <t xml:space="preserve">X button removed from UI</t>
  </si>
  <si>
    <t xml:space="preserve">Manros: Migration banner design</t>
  </si>
  <si>
    <t xml:space="preserve">How to identify API partners vs regular developers?</t>
  </si>
  <si>
    <t xml:space="preserve">Disable Telegram public discussions</t>
  </si>
  <si>
    <t xml:space="preserve">Dmitry: Intercom inbox automation</t>
  </si>
  <si>
    <t xml:space="preserve">SOP for V1 vs V2 ticket routing?</t>
  </si>
  <si>
    <t xml:space="preserve">Handle inquiries privately</t>
  </si>
  <si>
    <t xml:space="preserve">Sync Log — Data Source History</t>
  </si>
  <si>
    <t xml:space="preserve">Timestamp</t>
  </si>
  <si>
    <t xml:space="preserve">Source Type</t>
  </si>
  <si>
    <t xml:space="preserve">Source Name</t>
  </si>
  <si>
    <t xml:space="preserve">Items Added</t>
  </si>
  <si>
    <t xml:space="preserve">2026-03-02 15:30</t>
  </si>
  <si>
    <t xml:space="preserve">Slack</t>
  </si>
  <si>
    <t xml:space="preserve">#project_deriv_api_v2</t>
  </si>
  <si>
    <t xml:space="preserve">14</t>
  </si>
  <si>
    <t xml:space="preserve">Weekly priorities, V2 dashboard errors, developer feedback</t>
  </si>
  <si>
    <t xml:space="preserve">#api_customer_support</t>
  </si>
  <si>
    <t xml:space="preserve">3</t>
  </si>
  <si>
    <t xml:space="preserve">Duplicate accounts, Intercom automation, ticket routing</t>
  </si>
  <si>
    <t xml:space="preserve">#task_apiv2_markupcommissions</t>
  </si>
  <si>
    <t xml:space="preserve">2</t>
  </si>
  <si>
    <t xml:space="preserve">Eventbus endpoints, data for Govi</t>
  </si>
  <si>
    <t xml:space="preserve">#task_api_v2_website</t>
  </si>
  <si>
    <t xml:space="preserve">5</t>
  </si>
  <si>
    <t xml:space="preserve">Octomind, staging URLs, CNAME fixes, migration banner</t>
  </si>
  <si>
    <t xml:space="preserve">#task_apiv2_hubspot</t>
  </si>
  <si>
    <t xml:space="preserve">0</t>
  </si>
  <si>
    <t xml:space="preserve">New channel — no messages yet</t>
  </si>
  <si>
    <t xml:space="preserve">#task_apiv2_seo</t>
  </si>
  <si>
    <t xml:space="preserve">#task_apiv2_partners</t>
  </si>
  <si>
    <t xml:space="preserve">Email</t>
  </si>
  <si>
    <t xml:space="preserve">Overseer Meeting Minutes</t>
  </si>
  <si>
    <t xml:space="preserve">12</t>
  </si>
  <si>
    <t xml:space="preserve">4 meeting summaries from Feb 27 + Mar 2</t>
  </si>
  <si>
    <t xml:space="preserve">Zoom Meeting Assets</t>
  </si>
  <si>
    <t xml:space="preserve">8</t>
  </si>
  <si>
    <t xml:space="preserve">API Design &amp; FE Updates, Daily Catchup (Mar 2)</t>
  </si>
  <si>
    <t xml:space="preserve">Files</t>
  </si>
  <si>
    <t xml:space="preserve">Project Docs (12 recent)</t>
  </si>
  <si>
    <t xml:space="preserve">15</t>
  </si>
  <si>
    <t xml:space="preserve">AM-PS, AN-PS, MA-PS, Manros-PS, Commissions, API Design meetings</t>
  </si>
  <si>
    <t xml:space="preserve">Sync Source Configuration</t>
  </si>
  <si>
    <t xml:space="preserve">Slack Channels</t>
  </si>
  <si>
    <t xml:space="preserve">Channel</t>
  </si>
  <si>
    <t xml:space="preserve">Channel ID</t>
  </si>
  <si>
    <t xml:space="preserve">Last Synced</t>
  </si>
  <si>
    <t xml:space="preserve">C08H3AYCDM3</t>
  </si>
  <si>
    <t xml:space="preserve">Active</t>
  </si>
  <si>
    <t xml:space="preserve">C0A7NK0S5N3</t>
  </si>
  <si>
    <t xml:space="preserve">C0AJASV065P</t>
  </si>
  <si>
    <t xml:space="preserve">C09QFK3SA5V</t>
  </si>
  <si>
    <t xml:space="preserve">C0AJ0DSSYEA</t>
  </si>
  <si>
    <t xml:space="preserve">New</t>
  </si>
  <si>
    <t xml:space="preserve">C0AJ2GAK142</t>
  </si>
  <si>
    <t xml:space="preserve">C0AHW8DNX8B</t>
  </si>
  <si>
    <t xml:space="preserve">Email Sources</t>
  </si>
  <si>
    <t xml:space="preserve">Filter</t>
  </si>
  <si>
    <t xml:space="preserve">from:overseer@deriv.com</t>
  </si>
  <si>
    <t xml:space="preserve">from:no-reply@zoom.us</t>
  </si>
  <si>
    <t xml:space="preserve">Project Files</t>
  </si>
  <si>
    <t xml:space="preserve">Path</t>
  </si>
  <si>
    <t xml:space="preserve">API Meetings &amp; Notes (75 docs)</t>
  </si>
  <si>
    <t xml:space="preserve">Recent synced</t>
  </si>
  <si>
    <t xml:space="preserve">12 docs from last 7 days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</si>
</sst>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1A1A2E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28"/>
      <color rgb="FF94A3B8"/>
      <name val="Arial"/>
      <family val="0"/>
      <charset val="1"/>
    </font>
    <font>
      <b val="true"/>
      <sz val="28"/>
      <color rgb="FF3B82F6"/>
      <name val="Arial"/>
      <family val="0"/>
      <charset val="1"/>
    </font>
    <font>
      <b val="true"/>
      <sz val="28"/>
      <color rgb="FFEF4444"/>
      <name val="Arial"/>
      <family val="0"/>
      <charset val="1"/>
    </font>
    <font>
      <b val="true"/>
      <sz val="28"/>
      <color rgb="FFF59E0B"/>
      <name val="Arial"/>
      <family val="0"/>
      <charset val="1"/>
    </font>
    <font>
      <b val="true"/>
      <sz val="28"/>
      <color rgb="FF22C55E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b val="true"/>
      <sz val="12"/>
      <color rgb="FF3B82F6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E293B"/>
        <bgColor rgb="FF1A1A2E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3B82F6"/>
        <bgColor rgb="FF0066CC"/>
      </patternFill>
    </fill>
    <fill>
      <patternFill patternType="solid">
        <fgColor rgb="FFFFFFFF"/>
        <bgColor rgb="FFF8FAFC"/>
      </patternFill>
    </fill>
    <fill>
      <patternFill patternType="solid">
        <fgColor rgb="FFDBEAFE"/>
        <bgColor rgb="FFE0E7FF"/>
      </patternFill>
    </fill>
    <fill>
      <patternFill patternType="solid">
        <fgColor rgb="FFE0E7FF"/>
        <bgColor rgb="FFDBEAFE"/>
      </patternFill>
    </fill>
    <fill>
      <patternFill patternType="solid">
        <fgColor rgb="FF22C55E"/>
        <bgColor rgb="FF33CCCC"/>
      </patternFill>
    </fill>
    <fill>
      <patternFill patternType="solid">
        <fgColor rgb="FF94A3B8"/>
        <bgColor rgb="FF808080"/>
      </patternFill>
    </fill>
    <fill>
      <patternFill patternType="solid">
        <fgColor rgb="FFFEF3C7"/>
        <bgColor rgb="FFFEE2E2"/>
      </patternFill>
    </fill>
    <fill>
      <patternFill patternType="solid">
        <fgColor rgb="FFEF4444"/>
        <bgColor rgb="FF993366"/>
      </patternFill>
    </fill>
    <fill>
      <patternFill patternType="solid">
        <fgColor rgb="FFD1FAE5"/>
        <bgColor rgb="FFDBEAFE"/>
      </patternFill>
    </fill>
    <fill>
      <patternFill patternType="solid">
        <fgColor rgb="FFF59E0B"/>
        <bgColor rgb="FFFFCC00"/>
      </patternFill>
    </fill>
    <fill>
      <patternFill patternType="solid">
        <fgColor rgb="FFF0FDF4"/>
        <bgColor rgb="FFF8FAFC"/>
      </patternFill>
    </fill>
    <fill>
      <patternFill patternType="solid">
        <fgColor rgb="FFF1F5F9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E293B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3B82F6"/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0FDF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8F0"/>
      <rgbColor rgb="FF808080"/>
      <rgbColor rgb="FF8B5CF6"/>
      <rgbColor rgb="FF993366"/>
      <rgbColor rgb="FFFEF3C7"/>
      <rgbColor rgb="FFDBEAFE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D1FAE5"/>
      <rgbColor rgb="FFF8FAFC"/>
      <rgbColor rgb="FFF1F5F9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EF4444"/>
      <rgbColor rgb="FF64748B"/>
      <rgbColor rgb="FF94A3B8"/>
      <rgbColor rgb="FF003366"/>
      <rgbColor rgb="FF22C55E"/>
      <rgbColor rgb="FF003300"/>
      <rgbColor rgb="FF1A1A2E"/>
      <rgbColor rgb="FF993300"/>
      <rgbColor rgb="FF993366"/>
      <rgbColor rgb="FF47556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K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9" min="9" style="0" width="50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s">
        <v>12</v>
      </c>
      <c r="D2" s="3" t="s">
        <v>13</v>
      </c>
      <c r="E2" s="4" t="s">
        <v>14</v>
      </c>
      <c r="F2" s="5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customFormat="false" ht="23.85" hidden="false" customHeight="false" outlineLevel="0" collapsed="false">
      <c r="A3" s="6" t="n">
        <v>2</v>
      </c>
      <c r="B3" s="6" t="s">
        <v>20</v>
      </c>
      <c r="C3" s="6" t="s">
        <v>21</v>
      </c>
      <c r="D3" s="7" t="s">
        <v>22</v>
      </c>
      <c r="E3" s="4" t="s">
        <v>14</v>
      </c>
      <c r="F3" s="5" t="s">
        <v>15</v>
      </c>
      <c r="G3" s="6" t="s">
        <v>16</v>
      </c>
      <c r="H3" s="6" t="s">
        <v>17</v>
      </c>
      <c r="I3" s="6" t="s">
        <v>23</v>
      </c>
      <c r="J3" s="6" t="s">
        <v>19</v>
      </c>
      <c r="K3" s="6"/>
    </row>
    <row r="4" customFormat="false" ht="23.85" hidden="false" customHeight="false" outlineLevel="0" collapsed="false">
      <c r="A4" s="2" t="n">
        <v>3</v>
      </c>
      <c r="B4" s="2" t="s">
        <v>24</v>
      </c>
      <c r="C4" s="2" t="s">
        <v>21</v>
      </c>
      <c r="D4" s="7" t="s">
        <v>22</v>
      </c>
      <c r="E4" s="4" t="s">
        <v>14</v>
      </c>
      <c r="F4" s="5" t="s">
        <v>15</v>
      </c>
      <c r="G4" s="2" t="s">
        <v>25</v>
      </c>
      <c r="H4" s="2" t="s">
        <v>17</v>
      </c>
      <c r="I4" s="2" t="s">
        <v>26</v>
      </c>
      <c r="J4" s="2" t="s">
        <v>19</v>
      </c>
      <c r="K4" s="2"/>
    </row>
    <row r="5" customFormat="false" ht="35.05" hidden="false" customHeight="false" outlineLevel="0" collapsed="false">
      <c r="A5" s="6" t="n">
        <v>4</v>
      </c>
      <c r="B5" s="6" t="s">
        <v>27</v>
      </c>
      <c r="C5" s="6" t="s">
        <v>21</v>
      </c>
      <c r="D5" s="7" t="s">
        <v>22</v>
      </c>
      <c r="E5" s="4" t="s">
        <v>14</v>
      </c>
      <c r="F5" s="5" t="s">
        <v>15</v>
      </c>
      <c r="G5" s="6" t="s">
        <v>28</v>
      </c>
      <c r="H5" s="6" t="s">
        <v>29</v>
      </c>
      <c r="I5" s="6" t="s">
        <v>30</v>
      </c>
      <c r="J5" s="6" t="s">
        <v>19</v>
      </c>
      <c r="K5" s="6"/>
    </row>
    <row r="6" customFormat="false" ht="23.85" hidden="false" customHeight="false" outlineLevel="0" collapsed="false">
      <c r="A6" s="2" t="n">
        <v>5</v>
      </c>
      <c r="B6" s="2" t="s">
        <v>31</v>
      </c>
      <c r="C6" s="2" t="s">
        <v>32</v>
      </c>
      <c r="D6" s="8" t="s">
        <v>33</v>
      </c>
      <c r="E6" s="9" t="s">
        <v>34</v>
      </c>
      <c r="F6" s="5" t="s">
        <v>15</v>
      </c>
      <c r="G6" s="2" t="s">
        <v>16</v>
      </c>
      <c r="H6" s="2" t="s">
        <v>29</v>
      </c>
      <c r="I6" s="2" t="s">
        <v>35</v>
      </c>
      <c r="J6" s="2" t="s">
        <v>19</v>
      </c>
      <c r="K6" s="2"/>
    </row>
    <row r="7" customFormat="false" ht="23.85" hidden="false" customHeight="false" outlineLevel="0" collapsed="false">
      <c r="A7" s="6" t="n">
        <v>6</v>
      </c>
      <c r="B7" s="6" t="s">
        <v>36</v>
      </c>
      <c r="C7" s="6" t="s">
        <v>37</v>
      </c>
      <c r="D7" s="7" t="s">
        <v>22</v>
      </c>
      <c r="E7" s="10" t="s">
        <v>38</v>
      </c>
      <c r="F7" s="5" t="s">
        <v>15</v>
      </c>
      <c r="G7" s="6" t="s">
        <v>25</v>
      </c>
      <c r="H7" s="6" t="s">
        <v>29</v>
      </c>
      <c r="I7" s="6" t="s">
        <v>39</v>
      </c>
      <c r="J7" s="6" t="s">
        <v>19</v>
      </c>
      <c r="K7" s="6"/>
    </row>
    <row r="8" customFormat="false" ht="23.85" hidden="false" customHeight="false" outlineLevel="0" collapsed="false">
      <c r="A8" s="2" t="n">
        <v>7</v>
      </c>
      <c r="B8" s="2" t="s">
        <v>40</v>
      </c>
      <c r="C8" s="2" t="s">
        <v>32</v>
      </c>
      <c r="D8" s="8" t="s">
        <v>33</v>
      </c>
      <c r="E8" s="4" t="s">
        <v>14</v>
      </c>
      <c r="F8" s="11" t="s">
        <v>41</v>
      </c>
      <c r="G8" s="2" t="s">
        <v>16</v>
      </c>
      <c r="H8" s="2" t="s">
        <v>29</v>
      </c>
      <c r="I8" s="2" t="s">
        <v>42</v>
      </c>
      <c r="J8" s="2" t="s">
        <v>19</v>
      </c>
      <c r="K8" s="2"/>
    </row>
    <row r="9" customFormat="false" ht="57.45" hidden="false" customHeight="false" outlineLevel="0" collapsed="false">
      <c r="A9" s="6" t="n">
        <v>8</v>
      </c>
      <c r="B9" s="6" t="s">
        <v>43</v>
      </c>
      <c r="C9" s="6" t="s">
        <v>44</v>
      </c>
      <c r="D9" s="3" t="s">
        <v>13</v>
      </c>
      <c r="E9" s="12" t="s">
        <v>45</v>
      </c>
      <c r="F9" s="5" t="s">
        <v>15</v>
      </c>
      <c r="G9" s="6" t="s">
        <v>46</v>
      </c>
      <c r="H9" s="6" t="s">
        <v>47</v>
      </c>
      <c r="I9" s="6" t="s">
        <v>48</v>
      </c>
      <c r="J9" s="6" t="s">
        <v>19</v>
      </c>
      <c r="K9" s="6"/>
    </row>
    <row r="10" customFormat="false" ht="23.85" hidden="false" customHeight="false" outlineLevel="0" collapsed="false">
      <c r="A10" s="2" t="n">
        <v>9</v>
      </c>
      <c r="B10" s="2" t="s">
        <v>49</v>
      </c>
      <c r="C10" s="2" t="s">
        <v>32</v>
      </c>
      <c r="D10" s="7" t="s">
        <v>22</v>
      </c>
      <c r="E10" s="4" t="s">
        <v>14</v>
      </c>
      <c r="F10" s="5" t="s">
        <v>15</v>
      </c>
      <c r="G10" s="2" t="s">
        <v>16</v>
      </c>
      <c r="H10" s="2" t="s">
        <v>47</v>
      </c>
      <c r="I10" s="2" t="s">
        <v>50</v>
      </c>
      <c r="J10" s="2" t="s">
        <v>19</v>
      </c>
      <c r="K10" s="2"/>
    </row>
    <row r="11" customFormat="false" ht="23.85" hidden="false" customHeight="false" outlineLevel="0" collapsed="false">
      <c r="A11" s="6" t="n">
        <v>10</v>
      </c>
      <c r="B11" s="6" t="s">
        <v>51</v>
      </c>
      <c r="C11" s="6" t="s">
        <v>44</v>
      </c>
      <c r="D11" s="7" t="s">
        <v>22</v>
      </c>
      <c r="E11" s="10" t="s">
        <v>38</v>
      </c>
      <c r="F11" s="5" t="s">
        <v>15</v>
      </c>
      <c r="G11" s="6" t="s">
        <v>46</v>
      </c>
      <c r="H11" s="6" t="s">
        <v>47</v>
      </c>
      <c r="I11" s="6" t="s">
        <v>52</v>
      </c>
      <c r="J11" s="6" t="s">
        <v>19</v>
      </c>
      <c r="K11" s="6"/>
    </row>
    <row r="12" customFormat="false" ht="23.85" hidden="false" customHeight="false" outlineLevel="0" collapsed="false">
      <c r="A12" s="2" t="n">
        <v>11</v>
      </c>
      <c r="B12" s="2" t="s">
        <v>53</v>
      </c>
      <c r="C12" s="2" t="s">
        <v>21</v>
      </c>
      <c r="D12" s="3" t="s">
        <v>13</v>
      </c>
      <c r="E12" s="4" t="s">
        <v>14</v>
      </c>
      <c r="F12" s="11" t="s">
        <v>41</v>
      </c>
      <c r="G12" s="2" t="s">
        <v>54</v>
      </c>
      <c r="H12" s="2" t="s">
        <v>47</v>
      </c>
      <c r="I12" s="2" t="s">
        <v>55</v>
      </c>
      <c r="J12" s="2" t="s">
        <v>19</v>
      </c>
      <c r="K12" s="2"/>
    </row>
    <row r="13" customFormat="false" ht="23.85" hidden="false" customHeight="false" outlineLevel="0" collapsed="false">
      <c r="A13" s="6" t="n">
        <v>12</v>
      </c>
      <c r="B13" s="6" t="s">
        <v>56</v>
      </c>
      <c r="C13" s="6" t="s">
        <v>21</v>
      </c>
      <c r="D13" s="3" t="s">
        <v>13</v>
      </c>
      <c r="E13" s="10" t="s">
        <v>38</v>
      </c>
      <c r="F13" s="11" t="s">
        <v>41</v>
      </c>
      <c r="G13" s="6" t="s">
        <v>16</v>
      </c>
      <c r="H13" s="6" t="s">
        <v>47</v>
      </c>
      <c r="I13" s="6" t="s">
        <v>57</v>
      </c>
      <c r="J13" s="6" t="s">
        <v>19</v>
      </c>
      <c r="K13" s="6"/>
    </row>
    <row r="14" customFormat="false" ht="23.85" hidden="false" customHeight="false" outlineLevel="0" collapsed="false">
      <c r="A14" s="2" t="n">
        <v>13</v>
      </c>
      <c r="B14" s="2" t="s">
        <v>58</v>
      </c>
      <c r="C14" s="2" t="s">
        <v>32</v>
      </c>
      <c r="D14" s="13" t="s">
        <v>59</v>
      </c>
      <c r="E14" s="10" t="s">
        <v>38</v>
      </c>
      <c r="F14" s="11" t="s">
        <v>41</v>
      </c>
      <c r="G14" s="2" t="s">
        <v>16</v>
      </c>
      <c r="H14" s="2" t="s">
        <v>47</v>
      </c>
      <c r="I14" s="2" t="s">
        <v>60</v>
      </c>
      <c r="J14" s="2" t="s">
        <v>19</v>
      </c>
      <c r="K14" s="2"/>
    </row>
    <row r="15" customFormat="false" ht="23.85" hidden="false" customHeight="false" outlineLevel="0" collapsed="false">
      <c r="A15" s="6" t="n">
        <v>14</v>
      </c>
      <c r="B15" s="6" t="s">
        <v>61</v>
      </c>
      <c r="C15" s="6" t="s">
        <v>21</v>
      </c>
      <c r="D15" s="7" t="s">
        <v>22</v>
      </c>
      <c r="E15" s="4" t="s">
        <v>14</v>
      </c>
      <c r="F15" s="5" t="s">
        <v>15</v>
      </c>
      <c r="G15" s="6" t="s">
        <v>46</v>
      </c>
      <c r="H15" s="6" t="s">
        <v>47</v>
      </c>
      <c r="I15" s="6" t="s">
        <v>62</v>
      </c>
      <c r="J15" s="6" t="s">
        <v>19</v>
      </c>
      <c r="K15" s="6"/>
    </row>
    <row r="16" customFormat="false" ht="35.05" hidden="false" customHeight="false" outlineLevel="0" collapsed="false">
      <c r="A16" s="2" t="n">
        <v>15</v>
      </c>
      <c r="B16" s="2" t="s">
        <v>63</v>
      </c>
      <c r="C16" s="2" t="s">
        <v>32</v>
      </c>
      <c r="D16" s="8" t="s">
        <v>33</v>
      </c>
      <c r="E16" s="4" t="s">
        <v>14</v>
      </c>
      <c r="F16" s="11" t="s">
        <v>41</v>
      </c>
      <c r="G16" s="2" t="s">
        <v>16</v>
      </c>
      <c r="H16" s="2" t="s">
        <v>17</v>
      </c>
      <c r="I16" s="2" t="s">
        <v>64</v>
      </c>
      <c r="J16" s="2" t="s">
        <v>19</v>
      </c>
      <c r="K16" s="2"/>
    </row>
    <row r="17" customFormat="false" ht="23.85" hidden="false" customHeight="false" outlineLevel="0" collapsed="false">
      <c r="A17" s="6" t="n">
        <v>16</v>
      </c>
      <c r="B17" s="6" t="s">
        <v>65</v>
      </c>
      <c r="C17" s="6" t="s">
        <v>32</v>
      </c>
      <c r="D17" s="7" t="s">
        <v>22</v>
      </c>
      <c r="E17" s="10" t="s">
        <v>38</v>
      </c>
      <c r="F17" s="11" t="s">
        <v>41</v>
      </c>
      <c r="G17" s="6" t="s">
        <v>25</v>
      </c>
      <c r="H17" s="6" t="s">
        <v>17</v>
      </c>
      <c r="I17" s="6" t="s">
        <v>66</v>
      </c>
      <c r="J17" s="6" t="s">
        <v>19</v>
      </c>
      <c r="K17" s="6"/>
    </row>
    <row r="18" customFormat="false" ht="23.85" hidden="false" customHeight="false" outlineLevel="0" collapsed="false">
      <c r="A18" s="2" t="n">
        <v>17</v>
      </c>
      <c r="B18" s="2" t="s">
        <v>67</v>
      </c>
      <c r="C18" s="2" t="s">
        <v>68</v>
      </c>
      <c r="D18" s="14" t="s">
        <v>69</v>
      </c>
      <c r="E18" s="4" t="s">
        <v>14</v>
      </c>
      <c r="F18" s="11" t="s">
        <v>41</v>
      </c>
      <c r="G18" s="2" t="s">
        <v>54</v>
      </c>
      <c r="H18" s="2" t="s">
        <v>17</v>
      </c>
      <c r="I18" s="2" t="s">
        <v>70</v>
      </c>
      <c r="J18" s="2" t="s">
        <v>19</v>
      </c>
      <c r="K18" s="2"/>
    </row>
    <row r="19" customFormat="false" ht="23.85" hidden="false" customHeight="false" outlineLevel="0" collapsed="false">
      <c r="A19" s="6" t="n">
        <v>18</v>
      </c>
      <c r="B19" s="6" t="s">
        <v>71</v>
      </c>
      <c r="C19" s="6" t="s">
        <v>21</v>
      </c>
      <c r="D19" s="7" t="s">
        <v>22</v>
      </c>
      <c r="E19" s="10" t="s">
        <v>38</v>
      </c>
      <c r="F19" s="11" t="s">
        <v>41</v>
      </c>
      <c r="G19" s="6" t="s">
        <v>72</v>
      </c>
      <c r="H19" s="6" t="s">
        <v>17</v>
      </c>
      <c r="I19" s="6" t="s">
        <v>73</v>
      </c>
      <c r="J19" s="6" t="s">
        <v>19</v>
      </c>
      <c r="K19" s="6"/>
    </row>
    <row r="20" customFormat="false" ht="23.85" hidden="false" customHeight="false" outlineLevel="0" collapsed="false">
      <c r="A20" s="2" t="n">
        <v>19</v>
      </c>
      <c r="B20" s="2" t="s">
        <v>74</v>
      </c>
      <c r="C20" s="2" t="s">
        <v>21</v>
      </c>
      <c r="D20" s="7" t="s">
        <v>22</v>
      </c>
      <c r="E20" s="10" t="s">
        <v>38</v>
      </c>
      <c r="F20" s="11" t="s">
        <v>41</v>
      </c>
      <c r="G20" s="2" t="s">
        <v>25</v>
      </c>
      <c r="H20" s="2" t="s">
        <v>17</v>
      </c>
      <c r="I20" s="2" t="s">
        <v>75</v>
      </c>
      <c r="J20" s="2" t="s">
        <v>19</v>
      </c>
      <c r="K20" s="2"/>
    </row>
    <row r="21" customFormat="false" ht="35.05" hidden="false" customHeight="false" outlineLevel="0" collapsed="false">
      <c r="A21" s="6" t="n">
        <v>20</v>
      </c>
      <c r="B21" s="6" t="s">
        <v>76</v>
      </c>
      <c r="C21" s="6" t="s">
        <v>21</v>
      </c>
      <c r="D21" s="7" t="s">
        <v>22</v>
      </c>
      <c r="E21" s="4" t="s">
        <v>14</v>
      </c>
      <c r="F21" s="5" t="s">
        <v>15</v>
      </c>
      <c r="G21" s="6" t="s">
        <v>28</v>
      </c>
      <c r="H21" s="6" t="s">
        <v>77</v>
      </c>
      <c r="I21" s="6" t="s">
        <v>78</v>
      </c>
      <c r="J21" s="6" t="s">
        <v>19</v>
      </c>
      <c r="K21" s="6"/>
    </row>
    <row r="22" customFormat="false" ht="23.85" hidden="false" customHeight="false" outlineLevel="0" collapsed="false">
      <c r="A22" s="2" t="n">
        <v>21</v>
      </c>
      <c r="B22" s="2" t="s">
        <v>79</v>
      </c>
      <c r="C22" s="2" t="s">
        <v>21</v>
      </c>
      <c r="D22" s="7" t="s">
        <v>22</v>
      </c>
      <c r="E22" s="4" t="s">
        <v>14</v>
      </c>
      <c r="F22" s="11" t="s">
        <v>41</v>
      </c>
      <c r="G22" s="2" t="s">
        <v>80</v>
      </c>
      <c r="H22" s="2" t="s">
        <v>77</v>
      </c>
      <c r="I22" s="2" t="s">
        <v>81</v>
      </c>
      <c r="J22" s="2" t="s">
        <v>19</v>
      </c>
      <c r="K22" s="2"/>
    </row>
    <row r="23" customFormat="false" ht="23.85" hidden="false" customHeight="false" outlineLevel="0" collapsed="false">
      <c r="A23" s="6" t="n">
        <v>22</v>
      </c>
      <c r="B23" s="6" t="s">
        <v>82</v>
      </c>
      <c r="C23" s="6" t="s">
        <v>12</v>
      </c>
      <c r="D23" s="7" t="s">
        <v>22</v>
      </c>
      <c r="E23" s="15" t="s">
        <v>83</v>
      </c>
      <c r="F23" s="11" t="s">
        <v>41</v>
      </c>
      <c r="G23" s="6" t="s">
        <v>16</v>
      </c>
      <c r="H23" s="6" t="s">
        <v>84</v>
      </c>
      <c r="I23" s="6" t="s">
        <v>85</v>
      </c>
      <c r="J23" s="6" t="s">
        <v>19</v>
      </c>
      <c r="K23" s="6"/>
    </row>
    <row r="24" customFormat="false" ht="23.85" hidden="false" customHeight="false" outlineLevel="0" collapsed="false">
      <c r="A24" s="2" t="n">
        <v>23</v>
      </c>
      <c r="B24" s="2" t="s">
        <v>86</v>
      </c>
      <c r="C24" s="2" t="s">
        <v>68</v>
      </c>
      <c r="D24" s="7" t="s">
        <v>22</v>
      </c>
      <c r="E24" s="4" t="s">
        <v>14</v>
      </c>
      <c r="F24" s="5" t="s">
        <v>15</v>
      </c>
      <c r="G24" s="2" t="s">
        <v>54</v>
      </c>
      <c r="H24" s="2" t="s">
        <v>87</v>
      </c>
      <c r="I24" s="2" t="s">
        <v>88</v>
      </c>
      <c r="J24" s="2" t="s">
        <v>19</v>
      </c>
      <c r="K24" s="2"/>
    </row>
    <row r="25" customFormat="false" ht="35.05" hidden="false" customHeight="false" outlineLevel="0" collapsed="false">
      <c r="A25" s="6" t="n">
        <v>24</v>
      </c>
      <c r="B25" s="6" t="s">
        <v>89</v>
      </c>
      <c r="C25" s="6" t="s">
        <v>90</v>
      </c>
      <c r="D25" s="7" t="s">
        <v>22</v>
      </c>
      <c r="E25" s="10" t="s">
        <v>38</v>
      </c>
      <c r="F25" s="11" t="s">
        <v>41</v>
      </c>
      <c r="G25" s="6" t="s">
        <v>25</v>
      </c>
      <c r="H25" s="6" t="s">
        <v>87</v>
      </c>
      <c r="I25" s="6" t="s">
        <v>91</v>
      </c>
      <c r="J25" s="6" t="s">
        <v>19</v>
      </c>
      <c r="K25" s="6"/>
    </row>
    <row r="26" customFormat="false" ht="23.85" hidden="false" customHeight="false" outlineLevel="0" collapsed="false">
      <c r="A26" s="2" t="n">
        <v>25</v>
      </c>
      <c r="B26" s="2" t="s">
        <v>92</v>
      </c>
      <c r="C26" s="2" t="s">
        <v>21</v>
      </c>
      <c r="D26" s="7" t="s">
        <v>22</v>
      </c>
      <c r="E26" s="4" t="s">
        <v>14</v>
      </c>
      <c r="F26" s="16" t="s">
        <v>93</v>
      </c>
      <c r="G26" s="2" t="s">
        <v>80</v>
      </c>
      <c r="H26" s="2" t="s">
        <v>87</v>
      </c>
      <c r="I26" s="2" t="s">
        <v>94</v>
      </c>
      <c r="J26" s="2" t="s">
        <v>19</v>
      </c>
      <c r="K26" s="2"/>
    </row>
    <row r="27" customFormat="false" ht="35.05" hidden="false" customHeight="false" outlineLevel="0" collapsed="false">
      <c r="A27" s="6" t="n">
        <v>26</v>
      </c>
      <c r="B27" s="6" t="s">
        <v>95</v>
      </c>
      <c r="C27" s="6" t="s">
        <v>12</v>
      </c>
      <c r="D27" s="7" t="s">
        <v>22</v>
      </c>
      <c r="E27" s="10" t="s">
        <v>38</v>
      </c>
      <c r="F27" s="16" t="s">
        <v>93</v>
      </c>
      <c r="G27" s="6" t="s">
        <v>16</v>
      </c>
      <c r="H27" s="6" t="s">
        <v>87</v>
      </c>
      <c r="I27" s="6" t="s">
        <v>96</v>
      </c>
      <c r="J27" s="6" t="s">
        <v>19</v>
      </c>
      <c r="K27" s="6"/>
    </row>
    <row r="28" customFormat="false" ht="35.05" hidden="false" customHeight="false" outlineLevel="0" collapsed="false">
      <c r="A28" s="2" t="n">
        <v>27</v>
      </c>
      <c r="B28" s="2" t="s">
        <v>97</v>
      </c>
      <c r="C28" s="2" t="s">
        <v>98</v>
      </c>
      <c r="D28" s="7" t="s">
        <v>22</v>
      </c>
      <c r="E28" s="10" t="s">
        <v>38</v>
      </c>
      <c r="F28" s="5" t="s">
        <v>15</v>
      </c>
      <c r="G28" s="2" t="s">
        <v>72</v>
      </c>
      <c r="H28" s="2" t="s">
        <v>99</v>
      </c>
      <c r="I28" s="2" t="s">
        <v>100</v>
      </c>
      <c r="J28" s="2" t="s">
        <v>19</v>
      </c>
      <c r="K28" s="2"/>
    </row>
    <row r="29" customFormat="false" ht="35.05" hidden="false" customHeight="false" outlineLevel="0" collapsed="false">
      <c r="A29" s="6" t="n">
        <v>28</v>
      </c>
      <c r="B29" s="6" t="s">
        <v>101</v>
      </c>
      <c r="C29" s="6" t="s">
        <v>32</v>
      </c>
      <c r="D29" s="7" t="s">
        <v>22</v>
      </c>
      <c r="E29" s="4" t="s">
        <v>14</v>
      </c>
      <c r="F29" s="5" t="s">
        <v>15</v>
      </c>
      <c r="G29" s="6" t="s">
        <v>25</v>
      </c>
      <c r="H29" s="6" t="s">
        <v>99</v>
      </c>
      <c r="I29" s="6" t="s">
        <v>102</v>
      </c>
      <c r="J29" s="6" t="s">
        <v>19</v>
      </c>
      <c r="K29" s="6"/>
    </row>
    <row r="30" customFormat="false" ht="35.05" hidden="false" customHeight="false" outlineLevel="0" collapsed="false">
      <c r="A30" s="2" t="n">
        <v>29</v>
      </c>
      <c r="B30" s="2" t="s">
        <v>103</v>
      </c>
      <c r="C30" s="2" t="s">
        <v>32</v>
      </c>
      <c r="D30" s="7" t="s">
        <v>22</v>
      </c>
      <c r="E30" s="10" t="s">
        <v>38</v>
      </c>
      <c r="F30" s="11" t="s">
        <v>41</v>
      </c>
      <c r="G30" s="2" t="s">
        <v>72</v>
      </c>
      <c r="H30" s="2" t="s">
        <v>99</v>
      </c>
      <c r="I30" s="2" t="s">
        <v>104</v>
      </c>
      <c r="J30" s="2" t="s">
        <v>19</v>
      </c>
      <c r="K30" s="2"/>
    </row>
    <row r="31" customFormat="false" ht="23.85" hidden="false" customHeight="false" outlineLevel="0" collapsed="false">
      <c r="A31" s="6" t="n">
        <v>30</v>
      </c>
      <c r="B31" s="6" t="s">
        <v>105</v>
      </c>
      <c r="C31" s="6" t="s">
        <v>32</v>
      </c>
      <c r="D31" s="7" t="s">
        <v>22</v>
      </c>
      <c r="E31" s="10" t="s">
        <v>38</v>
      </c>
      <c r="F31" s="11" t="s">
        <v>41</v>
      </c>
      <c r="G31" s="6" t="s">
        <v>72</v>
      </c>
      <c r="H31" s="6" t="s">
        <v>99</v>
      </c>
      <c r="I31" s="6" t="s">
        <v>106</v>
      </c>
      <c r="J31" s="6" t="s">
        <v>19</v>
      </c>
      <c r="K31" s="6"/>
    </row>
    <row r="32" customFormat="false" ht="35.05" hidden="false" customHeight="false" outlineLevel="0" collapsed="false">
      <c r="A32" s="2" t="n">
        <v>31</v>
      </c>
      <c r="B32" s="2" t="s">
        <v>107</v>
      </c>
      <c r="C32" s="2" t="s">
        <v>108</v>
      </c>
      <c r="D32" s="7" t="s">
        <v>22</v>
      </c>
      <c r="E32" s="4" t="s">
        <v>14</v>
      </c>
      <c r="F32" s="5" t="s">
        <v>15</v>
      </c>
      <c r="G32" s="2" t="s">
        <v>25</v>
      </c>
      <c r="H32" s="2" t="s">
        <v>99</v>
      </c>
      <c r="I32" s="2" t="s">
        <v>109</v>
      </c>
      <c r="J32" s="2" t="s">
        <v>19</v>
      </c>
      <c r="K32" s="2"/>
    </row>
    <row r="33" customFormat="false" ht="35.05" hidden="false" customHeight="false" outlineLevel="0" collapsed="false">
      <c r="A33" s="6" t="n">
        <v>32</v>
      </c>
      <c r="B33" s="6" t="s">
        <v>110</v>
      </c>
      <c r="C33" s="6" t="s">
        <v>12</v>
      </c>
      <c r="D33" s="7" t="s">
        <v>22</v>
      </c>
      <c r="E33" s="12" t="s">
        <v>45</v>
      </c>
      <c r="F33" s="5" t="s">
        <v>15</v>
      </c>
      <c r="G33" s="6" t="s">
        <v>111</v>
      </c>
      <c r="H33" s="6" t="s">
        <v>112</v>
      </c>
      <c r="I33" s="6" t="s">
        <v>113</v>
      </c>
      <c r="J33" s="6" t="s">
        <v>19</v>
      </c>
      <c r="K33" s="6"/>
    </row>
    <row r="34" customFormat="false" ht="35.05" hidden="false" customHeight="false" outlineLevel="0" collapsed="false">
      <c r="A34" s="2" t="n">
        <v>33</v>
      </c>
      <c r="B34" s="2" t="s">
        <v>114</v>
      </c>
      <c r="C34" s="2" t="s">
        <v>68</v>
      </c>
      <c r="D34" s="7" t="s">
        <v>22</v>
      </c>
      <c r="E34" s="10" t="s">
        <v>38</v>
      </c>
      <c r="F34" s="11" t="s">
        <v>41</v>
      </c>
      <c r="G34" s="2" t="s">
        <v>54</v>
      </c>
      <c r="H34" s="2" t="s">
        <v>115</v>
      </c>
      <c r="I34" s="2" t="s">
        <v>116</v>
      </c>
      <c r="J34" s="2" t="s">
        <v>19</v>
      </c>
      <c r="K34" s="2"/>
    </row>
    <row r="35" customFormat="false" ht="23.85" hidden="false" customHeight="false" outlineLevel="0" collapsed="false">
      <c r="A35" s="6" t="n">
        <v>34</v>
      </c>
      <c r="B35" s="6" t="s">
        <v>117</v>
      </c>
      <c r="C35" s="6" t="s">
        <v>21</v>
      </c>
      <c r="D35" s="7" t="s">
        <v>22</v>
      </c>
      <c r="E35" s="9" t="s">
        <v>34</v>
      </c>
      <c r="F35" s="16" t="s">
        <v>93</v>
      </c>
      <c r="G35" s="6" t="s">
        <v>16</v>
      </c>
      <c r="H35" s="6" t="s">
        <v>118</v>
      </c>
      <c r="I35" s="6" t="s">
        <v>119</v>
      </c>
      <c r="J35" s="6" t="s">
        <v>19</v>
      </c>
      <c r="K35" s="6"/>
    </row>
    <row r="36" customFormat="false" ht="35.05" hidden="false" customHeight="false" outlineLevel="0" collapsed="false">
      <c r="A36" s="2" t="n">
        <v>35</v>
      </c>
      <c r="B36" s="2" t="s">
        <v>120</v>
      </c>
      <c r="C36" s="2" t="s">
        <v>32</v>
      </c>
      <c r="D36" s="8" t="s">
        <v>33</v>
      </c>
      <c r="E36" s="4" t="s">
        <v>14</v>
      </c>
      <c r="F36" s="11" t="s">
        <v>41</v>
      </c>
      <c r="G36" s="2" t="s">
        <v>121</v>
      </c>
      <c r="H36" s="2" t="s">
        <v>77</v>
      </c>
      <c r="I36" s="2" t="s">
        <v>122</v>
      </c>
      <c r="J36" s="2" t="s">
        <v>19</v>
      </c>
      <c r="K36" s="2"/>
    </row>
    <row r="37" customFormat="false" ht="23.85" hidden="false" customHeight="false" outlineLevel="0" collapsed="false">
      <c r="A37" s="6" t="n">
        <v>36</v>
      </c>
      <c r="B37" s="6" t="s">
        <v>123</v>
      </c>
      <c r="C37" s="6" t="s">
        <v>32</v>
      </c>
      <c r="D37" s="7" t="s">
        <v>22</v>
      </c>
      <c r="E37" s="9" t="s">
        <v>34</v>
      </c>
      <c r="F37" s="5" t="s">
        <v>15</v>
      </c>
      <c r="G37" s="6" t="s">
        <v>16</v>
      </c>
      <c r="H37" s="6" t="s">
        <v>77</v>
      </c>
      <c r="I37" s="6" t="s">
        <v>124</v>
      </c>
      <c r="J37" s="6" t="s">
        <v>19</v>
      </c>
      <c r="K37" s="6"/>
    </row>
    <row r="38" customFormat="false" ht="23.85" hidden="false" customHeight="false" outlineLevel="0" collapsed="false">
      <c r="A38" s="2" t="n">
        <v>37</v>
      </c>
      <c r="B38" s="2" t="s">
        <v>125</v>
      </c>
      <c r="C38" s="2" t="s">
        <v>32</v>
      </c>
      <c r="D38" s="7" t="s">
        <v>22</v>
      </c>
      <c r="E38" s="10" t="s">
        <v>38</v>
      </c>
      <c r="F38" s="11" t="s">
        <v>41</v>
      </c>
      <c r="G38" s="2" t="s">
        <v>16</v>
      </c>
      <c r="H38" s="2" t="s">
        <v>77</v>
      </c>
      <c r="I38" s="2" t="s">
        <v>126</v>
      </c>
      <c r="J38" s="2" t="s">
        <v>19</v>
      </c>
      <c r="K38" s="2"/>
    </row>
    <row r="39" customFormat="false" ht="23.85" hidden="false" customHeight="false" outlineLevel="0" collapsed="false">
      <c r="A39" s="6" t="n">
        <v>38</v>
      </c>
      <c r="B39" s="6" t="s">
        <v>127</v>
      </c>
      <c r="C39" s="6" t="s">
        <v>128</v>
      </c>
      <c r="D39" s="7" t="s">
        <v>22</v>
      </c>
      <c r="E39" s="9" t="s">
        <v>34</v>
      </c>
      <c r="F39" s="5" t="s">
        <v>15</v>
      </c>
      <c r="G39" s="6" t="s">
        <v>25</v>
      </c>
      <c r="H39" s="6" t="s">
        <v>129</v>
      </c>
      <c r="I39" s="6" t="s">
        <v>130</v>
      </c>
      <c r="J39" s="6" t="s">
        <v>19</v>
      </c>
      <c r="K39" s="6"/>
    </row>
    <row r="40" customFormat="false" ht="23.85" hidden="false" customHeight="false" outlineLevel="0" collapsed="false">
      <c r="A40" s="2" t="n">
        <v>39</v>
      </c>
      <c r="B40" s="2" t="s">
        <v>131</v>
      </c>
      <c r="C40" s="2" t="s">
        <v>132</v>
      </c>
      <c r="D40" s="7" t="s">
        <v>22</v>
      </c>
      <c r="E40" s="4" t="s">
        <v>14</v>
      </c>
      <c r="F40" s="5" t="s">
        <v>15</v>
      </c>
      <c r="G40" s="2" t="s">
        <v>25</v>
      </c>
      <c r="H40" s="2" t="s">
        <v>129</v>
      </c>
      <c r="I40" s="2" t="s">
        <v>133</v>
      </c>
      <c r="J40" s="2" t="s">
        <v>19</v>
      </c>
      <c r="K40" s="2"/>
    </row>
    <row r="41" customFormat="false" ht="23.85" hidden="false" customHeight="false" outlineLevel="0" collapsed="false">
      <c r="A41" s="6" t="n">
        <v>40</v>
      </c>
      <c r="B41" s="6" t="s">
        <v>134</v>
      </c>
      <c r="C41" s="6" t="s">
        <v>32</v>
      </c>
      <c r="D41" s="7" t="s">
        <v>22</v>
      </c>
      <c r="E41" s="4" t="s">
        <v>14</v>
      </c>
      <c r="F41" s="5" t="s">
        <v>15</v>
      </c>
      <c r="G41" s="6" t="s">
        <v>72</v>
      </c>
      <c r="H41" s="6" t="s">
        <v>29</v>
      </c>
      <c r="I41" s="6" t="s">
        <v>135</v>
      </c>
      <c r="J41" s="6" t="s">
        <v>19</v>
      </c>
      <c r="K41" s="6"/>
    </row>
    <row r="42" customFormat="false" ht="15" hidden="false" customHeight="false" outlineLevel="0" collapsed="false">
      <c r="A42" s="2" t="n">
        <v>41</v>
      </c>
      <c r="B42" s="2" t="s">
        <v>136</v>
      </c>
      <c r="C42" s="2" t="s">
        <v>137</v>
      </c>
      <c r="D42" s="7" t="s">
        <v>22</v>
      </c>
      <c r="E42" s="4" t="s">
        <v>14</v>
      </c>
      <c r="F42" s="11" t="s">
        <v>41</v>
      </c>
      <c r="G42" s="2" t="s">
        <v>16</v>
      </c>
      <c r="H42" s="2" t="s">
        <v>138</v>
      </c>
      <c r="I42" s="2" t="s">
        <v>139</v>
      </c>
      <c r="J42" s="2" t="s">
        <v>19</v>
      </c>
      <c r="K42" s="2"/>
    </row>
    <row r="43" customFormat="false" ht="23.85" hidden="false" customHeight="false" outlineLevel="0" collapsed="false">
      <c r="A43" s="6" t="n">
        <v>42</v>
      </c>
      <c r="B43" s="6" t="s">
        <v>140</v>
      </c>
      <c r="C43" s="6" t="s">
        <v>141</v>
      </c>
      <c r="D43" s="3" t="s">
        <v>13</v>
      </c>
      <c r="E43" s="4" t="s">
        <v>14</v>
      </c>
      <c r="F43" s="11" t="s">
        <v>41</v>
      </c>
      <c r="G43" s="6" t="s">
        <v>16</v>
      </c>
      <c r="H43" s="6" t="s">
        <v>138</v>
      </c>
      <c r="I43" s="6" t="s">
        <v>142</v>
      </c>
      <c r="J43" s="6" t="s">
        <v>19</v>
      </c>
      <c r="K43" s="6"/>
    </row>
    <row r="44" customFormat="false" ht="15" hidden="false" customHeight="false" outlineLevel="0" collapsed="false">
      <c r="A44" s="2" t="n">
        <v>43</v>
      </c>
      <c r="B44" s="2" t="s">
        <v>143</v>
      </c>
      <c r="C44" s="2" t="s">
        <v>144</v>
      </c>
      <c r="D44" s="3" t="s">
        <v>13</v>
      </c>
      <c r="E44" s="4" t="s">
        <v>14</v>
      </c>
      <c r="F44" s="11" t="s">
        <v>41</v>
      </c>
      <c r="G44" s="2" t="s">
        <v>111</v>
      </c>
      <c r="H44" s="2" t="s">
        <v>138</v>
      </c>
      <c r="I44" s="2" t="s">
        <v>145</v>
      </c>
      <c r="J44" s="2" t="s">
        <v>19</v>
      </c>
      <c r="K44" s="2"/>
    </row>
    <row r="45" customFormat="false" ht="15" hidden="false" customHeight="false" outlineLevel="0" collapsed="false">
      <c r="A45" s="6" t="n">
        <v>44</v>
      </c>
      <c r="B45" s="6" t="s">
        <v>146</v>
      </c>
      <c r="C45" s="6" t="s">
        <v>68</v>
      </c>
      <c r="D45" s="7" t="s">
        <v>22</v>
      </c>
      <c r="E45" s="4" t="s">
        <v>14</v>
      </c>
      <c r="F45" s="11" t="s">
        <v>41</v>
      </c>
      <c r="G45" s="6" t="s">
        <v>54</v>
      </c>
      <c r="H45" s="6" t="s">
        <v>138</v>
      </c>
      <c r="I45" s="6" t="s">
        <v>147</v>
      </c>
      <c r="J45" s="6" t="s">
        <v>19</v>
      </c>
      <c r="K45" s="6"/>
    </row>
    <row r="46" customFormat="false" ht="23.85" hidden="false" customHeight="false" outlineLevel="0" collapsed="false">
      <c r="A46" s="2" t="n">
        <v>45</v>
      </c>
      <c r="B46" s="2" t="s">
        <v>148</v>
      </c>
      <c r="C46" s="2" t="s">
        <v>32</v>
      </c>
      <c r="D46" s="14" t="s">
        <v>69</v>
      </c>
      <c r="E46" s="10" t="s">
        <v>38</v>
      </c>
      <c r="F46" s="5" t="s">
        <v>15</v>
      </c>
      <c r="G46" s="2" t="s">
        <v>16</v>
      </c>
      <c r="H46" s="2" t="s">
        <v>29</v>
      </c>
      <c r="I46" s="2" t="s">
        <v>149</v>
      </c>
      <c r="J46" s="2" t="s">
        <v>19</v>
      </c>
      <c r="K46" s="2"/>
    </row>
    <row r="47" customFormat="false" ht="23.85" hidden="false" customHeight="false" outlineLevel="0" collapsed="false">
      <c r="A47" s="6" t="n">
        <v>46</v>
      </c>
      <c r="B47" s="6" t="s">
        <v>150</v>
      </c>
      <c r="C47" s="6" t="s">
        <v>151</v>
      </c>
      <c r="D47" s="7" t="s">
        <v>22</v>
      </c>
      <c r="E47" s="10" t="s">
        <v>38</v>
      </c>
      <c r="F47" s="5" t="s">
        <v>15</v>
      </c>
      <c r="G47" s="6" t="s">
        <v>25</v>
      </c>
      <c r="H47" s="6" t="s">
        <v>29</v>
      </c>
      <c r="I47" s="6" t="s">
        <v>152</v>
      </c>
      <c r="J47" s="6" t="s">
        <v>19</v>
      </c>
      <c r="K47" s="6"/>
    </row>
    <row r="48" customFormat="false" ht="35.05" hidden="false" customHeight="false" outlineLevel="0" collapsed="false">
      <c r="A48" s="2" t="n">
        <v>47</v>
      </c>
      <c r="B48" s="2" t="s">
        <v>153</v>
      </c>
      <c r="C48" s="2" t="s">
        <v>21</v>
      </c>
      <c r="D48" s="7" t="s">
        <v>22</v>
      </c>
      <c r="E48" s="10" t="s">
        <v>38</v>
      </c>
      <c r="F48" s="11" t="s">
        <v>41</v>
      </c>
      <c r="G48" s="2" t="s">
        <v>121</v>
      </c>
      <c r="H48" s="2" t="s">
        <v>154</v>
      </c>
      <c r="I48" s="2" t="s">
        <v>155</v>
      </c>
      <c r="J48" s="2" t="s">
        <v>19</v>
      </c>
      <c r="K48" s="2"/>
    </row>
    <row r="49" customFormat="false" ht="23.85" hidden="false" customHeight="false" outlineLevel="0" collapsed="false">
      <c r="A49" s="6" t="n">
        <v>48</v>
      </c>
      <c r="B49" s="6" t="s">
        <v>156</v>
      </c>
      <c r="C49" s="6" t="s">
        <v>157</v>
      </c>
      <c r="D49" s="7" t="s">
        <v>22</v>
      </c>
      <c r="E49" s="10" t="s">
        <v>38</v>
      </c>
      <c r="F49" s="11" t="s">
        <v>41</v>
      </c>
      <c r="G49" s="6" t="s">
        <v>121</v>
      </c>
      <c r="H49" s="6" t="s">
        <v>154</v>
      </c>
      <c r="I49" s="6" t="s">
        <v>158</v>
      </c>
      <c r="J49" s="6" t="s">
        <v>19</v>
      </c>
      <c r="K49" s="6"/>
    </row>
    <row r="50" customFormat="false" ht="23.85" hidden="false" customHeight="false" outlineLevel="0" collapsed="false">
      <c r="A50" s="2" t="n">
        <v>49</v>
      </c>
      <c r="B50" s="2" t="s">
        <v>159</v>
      </c>
      <c r="C50" s="2" t="s">
        <v>21</v>
      </c>
      <c r="D50" s="7" t="s">
        <v>22</v>
      </c>
      <c r="E50" s="10" t="s">
        <v>38</v>
      </c>
      <c r="F50" s="5" t="s">
        <v>15</v>
      </c>
      <c r="G50" s="2" t="s">
        <v>28</v>
      </c>
      <c r="H50" s="2" t="s">
        <v>77</v>
      </c>
      <c r="I50" s="2" t="s">
        <v>160</v>
      </c>
      <c r="J50" s="2" t="s">
        <v>19</v>
      </c>
      <c r="K50" s="2"/>
    </row>
    <row r="51" customFormat="false" ht="23.85" hidden="false" customHeight="false" outlineLevel="0" collapsed="false">
      <c r="A51" s="6" t="n">
        <v>50</v>
      </c>
      <c r="B51" s="6" t="s">
        <v>161</v>
      </c>
      <c r="C51" s="6" t="s">
        <v>32</v>
      </c>
      <c r="D51" s="7" t="s">
        <v>22</v>
      </c>
      <c r="E51" s="10" t="s">
        <v>38</v>
      </c>
      <c r="F51" s="11" t="s">
        <v>41</v>
      </c>
      <c r="G51" s="6" t="s">
        <v>16</v>
      </c>
      <c r="H51" s="6" t="s">
        <v>99</v>
      </c>
      <c r="I51" s="6" t="s">
        <v>162</v>
      </c>
      <c r="J51" s="6" t="s">
        <v>19</v>
      </c>
      <c r="K51" s="6"/>
    </row>
    <row r="52" customFormat="false" ht="23.85" hidden="false" customHeight="false" outlineLevel="0" collapsed="false">
      <c r="A52" s="2" t="n">
        <v>51</v>
      </c>
      <c r="B52" s="2" t="s">
        <v>163</v>
      </c>
      <c r="C52" s="2" t="s">
        <v>21</v>
      </c>
      <c r="D52" s="13" t="s">
        <v>59</v>
      </c>
      <c r="E52" s="10" t="s">
        <v>38</v>
      </c>
      <c r="F52" s="16" t="s">
        <v>93</v>
      </c>
      <c r="G52" s="2" t="s">
        <v>16</v>
      </c>
      <c r="H52" s="2" t="s">
        <v>164</v>
      </c>
      <c r="I52" s="2" t="s">
        <v>165</v>
      </c>
      <c r="J52" s="2" t="s">
        <v>19</v>
      </c>
      <c r="K52" s="2"/>
    </row>
  </sheetData>
  <autoFilter ref="A1:K52"/>
  <dataValidations count="4">
    <dataValidation allowBlank="true" error="Pick a valid status" errorStyle="stop" errorTitle="Invalid Status" operator="between" showDropDown="false" showErrorMessage="false" showInputMessage="false" sqref="E2:E101" type="list">
      <formula1>"Backlog,In Progress,Blocked,In Review,Done"</formula1>
      <formula2>0</formula2>
    </dataValidation>
    <dataValidation allowBlank="true" errorStyle="stop" operator="between" showDropDown="false" showErrorMessage="false" showInputMessage="false" sqref="F2:F101" type="list">
      <formula1>"High,Medium,Low"</formula1>
      <formula2>0</formula2>
    </dataValidation>
    <dataValidation allowBlank="true" errorStyle="stop" operator="between" showDropDown="false" showErrorMessage="false" showInputMessage="false" sqref="D2:D101" type="list">
      <formula1>"Action Item,Product Decision,Review,Bug/Fix,Documentation,External Request"</formula1>
      <formula2>0</formula2>
    </dataValidation>
    <dataValidation allowBlank="true" errorStyle="stop" operator="between" showDropDown="false" showErrorMessage="false" showInputMessage="false" sqref="G2:G101" type="list">
      <formula1>"Core API Team,Auth / Backend,Design (Figma),HubSpot / Marketing,BI / Data,Compliance / Legal,Partners / Biz Dev,Support (Intercom),Country Managers,DevOps / IT Ops,SEO,Translations,Marketing,Content / Docs,Finance / Revenue"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8"/>
  </cols>
  <sheetData>
    <row r="1" customFormat="false" ht="22.05" hidden="false" customHeight="false" outlineLevel="0" collapsed="false">
      <c r="A1" s="17" t="s">
        <v>166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18" t="s">
        <v>167</v>
      </c>
      <c r="B2" s="18"/>
      <c r="C2" s="18"/>
      <c r="D2" s="18"/>
      <c r="E2" s="18"/>
      <c r="F2" s="18"/>
    </row>
    <row r="4" customFormat="false" ht="33.85" hidden="false" customHeight="false" outlineLevel="0" collapsed="false">
      <c r="A4" s="19" t="n">
        <f aca="false">COUNTIF('Tracker Board'!E:E,"Backlog")</f>
        <v>21</v>
      </c>
      <c r="B4" s="20" t="n">
        <f aca="false">COUNTIF('Tracker Board'!E:E,"In Progress")</f>
        <v>23</v>
      </c>
      <c r="C4" s="21" t="n">
        <f aca="false">COUNTIF('Tracker Board'!E:E,"Blocked")</f>
        <v>2</v>
      </c>
      <c r="D4" s="22" t="n">
        <f aca="false">COUNTIF('Tracker Board'!E:E,"In Review")</f>
        <v>1</v>
      </c>
      <c r="E4" s="23" t="n">
        <f aca="false">COUNTIF('Tracker Board'!E:E,"Done")</f>
        <v>4</v>
      </c>
    </row>
    <row r="5" customFormat="false" ht="15" hidden="false" customHeight="false" outlineLevel="0" collapsed="false">
      <c r="A5" s="24" t="s">
        <v>38</v>
      </c>
      <c r="B5" s="24" t="s">
        <v>14</v>
      </c>
      <c r="C5" s="24" t="s">
        <v>45</v>
      </c>
      <c r="D5" s="24" t="s">
        <v>83</v>
      </c>
      <c r="E5" s="24" t="s">
        <v>34</v>
      </c>
    </row>
    <row r="7" customFormat="false" ht="17.35" hidden="false" customHeight="false" outlineLevel="0" collapsed="false">
      <c r="A7" s="25" t="s">
        <v>168</v>
      </c>
    </row>
    <row r="8" customFormat="false" ht="15" hidden="false" customHeight="false" outlineLevel="0" collapsed="false">
      <c r="A8" s="26" t="s">
        <v>6</v>
      </c>
      <c r="B8" s="26" t="s">
        <v>169</v>
      </c>
      <c r="C8" s="26" t="s">
        <v>14</v>
      </c>
      <c r="D8" s="26" t="s">
        <v>45</v>
      </c>
      <c r="E8" s="26" t="s">
        <v>34</v>
      </c>
    </row>
    <row r="9" customFormat="false" ht="15" hidden="false" customHeight="false" outlineLevel="0" collapsed="false">
      <c r="A9" s="27" t="s">
        <v>16</v>
      </c>
      <c r="B9" s="28" t="n">
        <f aca="false">COUNTIF('Tracker Board'!G:G,A9)</f>
        <v>18</v>
      </c>
      <c r="C9" s="28" t="n">
        <f aca="false">COUNTIFS('Tracker Board'!G:G,A9,'Tracker Board'!E:E,"In Progress")</f>
        <v>7</v>
      </c>
      <c r="D9" s="28" t="n">
        <f aca="false">COUNTIFS('Tracker Board'!G:G,A9,'Tracker Board'!E:E,"Blocked")</f>
        <v>0</v>
      </c>
      <c r="E9" s="28" t="n">
        <f aca="false">COUNTIFS('Tracker Board'!G:G,A9,'Tracker Board'!E:E,"Done")</f>
        <v>3</v>
      </c>
    </row>
    <row r="10" customFormat="false" ht="15" hidden="false" customHeight="false" outlineLevel="0" collapsed="false">
      <c r="A10" s="27" t="s">
        <v>25</v>
      </c>
      <c r="B10" s="28" t="n">
        <f aca="false">COUNTIF('Tracker Board'!G:G,A10)</f>
        <v>10</v>
      </c>
      <c r="C10" s="28" t="n">
        <f aca="false">COUNTIFS('Tracker Board'!G:G,A10,'Tracker Board'!E:E,"In Progress")</f>
        <v>4</v>
      </c>
      <c r="D10" s="28" t="n">
        <f aca="false">COUNTIFS('Tracker Board'!G:G,A10,'Tracker Board'!E:E,"Blocked")</f>
        <v>0</v>
      </c>
      <c r="E10" s="28" t="n">
        <f aca="false">COUNTIFS('Tracker Board'!G:G,A10,'Tracker Board'!E:E,"Done")</f>
        <v>1</v>
      </c>
    </row>
    <row r="11" customFormat="false" ht="15" hidden="false" customHeight="false" outlineLevel="0" collapsed="false">
      <c r="A11" s="27" t="s">
        <v>54</v>
      </c>
      <c r="B11" s="28" t="n">
        <f aca="false">COUNTIF('Tracker Board'!G:G,A11)</f>
        <v>5</v>
      </c>
      <c r="C11" s="28" t="n">
        <f aca="false">COUNTIFS('Tracker Board'!G:G,A11,'Tracker Board'!E:E,"In Progress")</f>
        <v>4</v>
      </c>
      <c r="D11" s="28" t="n">
        <f aca="false">COUNTIFS('Tracker Board'!G:G,A11,'Tracker Board'!E:E,"Blocked")</f>
        <v>0</v>
      </c>
      <c r="E11" s="28" t="n">
        <f aca="false">COUNTIFS('Tracker Board'!G:G,A11,'Tracker Board'!E:E,"Done")</f>
        <v>0</v>
      </c>
    </row>
    <row r="12" customFormat="false" ht="15" hidden="false" customHeight="false" outlineLevel="0" collapsed="false">
      <c r="A12" s="27" t="s">
        <v>72</v>
      </c>
      <c r="B12" s="28" t="n">
        <f aca="false">COUNTIF('Tracker Board'!G:G,A12)</f>
        <v>5</v>
      </c>
      <c r="C12" s="28" t="n">
        <f aca="false">COUNTIFS('Tracker Board'!G:G,A12,'Tracker Board'!E:E,"In Progress")</f>
        <v>1</v>
      </c>
      <c r="D12" s="28" t="n">
        <f aca="false">COUNTIFS('Tracker Board'!G:G,A12,'Tracker Board'!E:E,"Blocked")</f>
        <v>0</v>
      </c>
      <c r="E12" s="28" t="n">
        <f aca="false">COUNTIFS('Tracker Board'!G:G,A12,'Tracker Board'!E:E,"Done")</f>
        <v>0</v>
      </c>
    </row>
    <row r="13" customFormat="false" ht="15" hidden="false" customHeight="false" outlineLevel="0" collapsed="false">
      <c r="A13" s="27" t="s">
        <v>28</v>
      </c>
      <c r="B13" s="28" t="n">
        <f aca="false">COUNTIF('Tracker Board'!G:G,A13)</f>
        <v>3</v>
      </c>
      <c r="C13" s="28" t="n">
        <f aca="false">COUNTIFS('Tracker Board'!G:G,A13,'Tracker Board'!E:E,"In Progress")</f>
        <v>2</v>
      </c>
      <c r="D13" s="28" t="n">
        <f aca="false">COUNTIFS('Tracker Board'!G:G,A13,'Tracker Board'!E:E,"Blocked")</f>
        <v>0</v>
      </c>
      <c r="E13" s="28" t="n">
        <f aca="false">COUNTIFS('Tracker Board'!G:G,A13,'Tracker Board'!E:E,"Done")</f>
        <v>0</v>
      </c>
    </row>
    <row r="14" customFormat="false" ht="15" hidden="false" customHeight="false" outlineLevel="0" collapsed="false">
      <c r="A14" s="27" t="s">
        <v>46</v>
      </c>
      <c r="B14" s="28" t="n">
        <f aca="false">COUNTIF('Tracker Board'!G:G,A14)</f>
        <v>3</v>
      </c>
      <c r="C14" s="28" t="n">
        <f aca="false">COUNTIFS('Tracker Board'!G:G,A14,'Tracker Board'!E:E,"In Progress")</f>
        <v>1</v>
      </c>
      <c r="D14" s="28" t="n">
        <f aca="false">COUNTIFS('Tracker Board'!G:G,A14,'Tracker Board'!E:E,"Blocked")</f>
        <v>1</v>
      </c>
      <c r="E14" s="28" t="n">
        <f aca="false">COUNTIFS('Tracker Board'!G:G,A14,'Tracker Board'!E:E,"Done")</f>
        <v>0</v>
      </c>
    </row>
    <row r="15" customFormat="false" ht="15" hidden="false" customHeight="false" outlineLevel="0" collapsed="false">
      <c r="A15" s="27" t="s">
        <v>121</v>
      </c>
      <c r="B15" s="28" t="n">
        <f aca="false">COUNTIF('Tracker Board'!G:G,A15)</f>
        <v>3</v>
      </c>
      <c r="C15" s="28" t="n">
        <f aca="false">COUNTIFS('Tracker Board'!G:G,A15,'Tracker Board'!E:E,"In Progress")</f>
        <v>1</v>
      </c>
      <c r="D15" s="28" t="n">
        <f aca="false">COUNTIFS('Tracker Board'!G:G,A15,'Tracker Board'!E:E,"Blocked")</f>
        <v>0</v>
      </c>
      <c r="E15" s="28" t="n">
        <f aca="false">COUNTIFS('Tracker Board'!G:G,A15,'Tracker Board'!E:E,"Done")</f>
        <v>0</v>
      </c>
    </row>
    <row r="16" customFormat="false" ht="15" hidden="false" customHeight="false" outlineLevel="0" collapsed="false">
      <c r="A16" s="27" t="s">
        <v>80</v>
      </c>
      <c r="B16" s="28" t="n">
        <f aca="false">COUNTIF('Tracker Board'!G:G,A16)</f>
        <v>2</v>
      </c>
      <c r="C16" s="28" t="n">
        <f aca="false">COUNTIFS('Tracker Board'!G:G,A16,'Tracker Board'!E:E,"In Progress")</f>
        <v>2</v>
      </c>
      <c r="D16" s="28" t="n">
        <f aca="false">COUNTIFS('Tracker Board'!G:G,A16,'Tracker Board'!E:E,"Blocked")</f>
        <v>0</v>
      </c>
      <c r="E16" s="28" t="n">
        <f aca="false">COUNTIFS('Tracker Board'!G:G,A16,'Tracker Board'!E:E,"Done")</f>
        <v>0</v>
      </c>
    </row>
    <row r="17" customFormat="false" ht="15" hidden="false" customHeight="false" outlineLevel="0" collapsed="false">
      <c r="A17" s="27" t="s">
        <v>111</v>
      </c>
      <c r="B17" s="28" t="n">
        <f aca="false">COUNTIF('Tracker Board'!G:G,A17)</f>
        <v>2</v>
      </c>
      <c r="C17" s="28" t="n">
        <f aca="false">COUNTIFS('Tracker Board'!G:G,A17,'Tracker Board'!E:E,"In Progress")</f>
        <v>1</v>
      </c>
      <c r="D17" s="28" t="n">
        <f aca="false">COUNTIFS('Tracker Board'!G:G,A17,'Tracker Board'!E:E,"Blocked")</f>
        <v>1</v>
      </c>
      <c r="E17" s="28" t="n">
        <f aca="false">COUNTIFS('Tracker Board'!G:G,A17,'Tracker Board'!E:E,"Done")</f>
        <v>0</v>
      </c>
    </row>
    <row r="20" customFormat="false" ht="17.35" hidden="false" customHeight="false" outlineLevel="0" collapsed="false">
      <c r="A20" s="25" t="s">
        <v>170</v>
      </c>
    </row>
    <row r="21" customFormat="false" ht="15" hidden="false" customHeight="false" outlineLevel="0" collapsed="false">
      <c r="A21" s="26" t="s">
        <v>2</v>
      </c>
      <c r="B21" s="26" t="s">
        <v>169</v>
      </c>
      <c r="C21" s="26" t="s">
        <v>171</v>
      </c>
      <c r="D21" s="26" t="s">
        <v>14</v>
      </c>
      <c r="E21" s="26" t="s">
        <v>45</v>
      </c>
    </row>
    <row r="22" customFormat="false" ht="15" hidden="false" customHeight="false" outlineLevel="0" collapsed="false">
      <c r="A22" s="27" t="s">
        <v>21</v>
      </c>
      <c r="B22" s="28" t="n">
        <f aca="false">COUNTIF('Tracker Board'!C:C,A22)</f>
        <v>15</v>
      </c>
      <c r="C22" s="28" t="n">
        <f aca="false">COUNTIFS('Tracker Board'!C:C,A22,'Tracker Board'!F:F,"High")</f>
        <v>6</v>
      </c>
      <c r="D22" s="28" t="n">
        <f aca="false">COUNTIFS('Tracker Board'!C:C,A22,'Tracker Board'!E:E,"In Progress")</f>
        <v>8</v>
      </c>
      <c r="E22" s="28" t="n">
        <f aca="false">COUNTIFS('Tracker Board'!C:C,A22,'Tracker Board'!E:E,"Blocked")</f>
        <v>0</v>
      </c>
    </row>
    <row r="23" customFormat="false" ht="15" hidden="false" customHeight="false" outlineLevel="0" collapsed="false">
      <c r="A23" s="27" t="s">
        <v>32</v>
      </c>
      <c r="B23" s="28" t="n">
        <f aca="false">COUNTIF('Tracker Board'!C:C,A23)</f>
        <v>15</v>
      </c>
      <c r="C23" s="28" t="n">
        <f aca="false">COUNTIFS('Tracker Board'!C:C,A23,'Tracker Board'!F:F,"High")</f>
        <v>6</v>
      </c>
      <c r="D23" s="28" t="n">
        <f aca="false">COUNTIFS('Tracker Board'!C:C,A23,'Tracker Board'!E:E,"In Progress")</f>
        <v>6</v>
      </c>
      <c r="E23" s="28" t="n">
        <f aca="false">COUNTIFS('Tracker Board'!C:C,A23,'Tracker Board'!E:E,"Blocked")</f>
        <v>0</v>
      </c>
    </row>
    <row r="24" customFormat="false" ht="15" hidden="false" customHeight="false" outlineLevel="0" collapsed="false">
      <c r="A24" s="27" t="s">
        <v>12</v>
      </c>
      <c r="B24" s="28" t="n">
        <f aca="false">COUNTIF('Tracker Board'!C:C,A24)</f>
        <v>4</v>
      </c>
      <c r="C24" s="28" t="n">
        <f aca="false">COUNTIFS('Tracker Board'!C:C,A24,'Tracker Board'!F:F,"High")</f>
        <v>2</v>
      </c>
      <c r="D24" s="28" t="n">
        <f aca="false">COUNTIFS('Tracker Board'!C:C,A24,'Tracker Board'!E:E,"In Progress")</f>
        <v>1</v>
      </c>
      <c r="E24" s="28" t="n">
        <f aca="false">COUNTIFS('Tracker Board'!C:C,A24,'Tracker Board'!E:E,"Blocked")</f>
        <v>1</v>
      </c>
    </row>
    <row r="25" customFormat="false" ht="15" hidden="false" customHeight="false" outlineLevel="0" collapsed="false">
      <c r="A25" s="27" t="s">
        <v>68</v>
      </c>
      <c r="B25" s="28" t="n">
        <f aca="false">COUNTIF('Tracker Board'!C:C,A25)</f>
        <v>4</v>
      </c>
      <c r="C25" s="28" t="n">
        <f aca="false">COUNTIFS('Tracker Board'!C:C,A25,'Tracker Board'!F:F,"High")</f>
        <v>1</v>
      </c>
      <c r="D25" s="28" t="n">
        <f aca="false">COUNTIFS('Tracker Board'!C:C,A25,'Tracker Board'!E:E,"In Progress")</f>
        <v>3</v>
      </c>
      <c r="E25" s="28" t="n">
        <f aca="false">COUNTIFS('Tracker Board'!C:C,A25,'Tracker Board'!E:E,"Blocked")</f>
        <v>0</v>
      </c>
    </row>
    <row r="26" customFormat="false" ht="15" hidden="false" customHeight="false" outlineLevel="0" collapsed="false">
      <c r="A26" s="27" t="s">
        <v>44</v>
      </c>
      <c r="B26" s="28" t="n">
        <f aca="false">COUNTIF('Tracker Board'!C:C,A26)</f>
        <v>2</v>
      </c>
      <c r="C26" s="28" t="n">
        <f aca="false">COUNTIFS('Tracker Board'!C:C,A26,'Tracker Board'!F:F,"High")</f>
        <v>2</v>
      </c>
      <c r="D26" s="28" t="n">
        <f aca="false">COUNTIFS('Tracker Board'!C:C,A26,'Tracker Board'!E:E,"In Progress")</f>
        <v>0</v>
      </c>
      <c r="E26" s="28" t="n">
        <f aca="false">COUNTIFS('Tracker Board'!C:C,A26,'Tracker Board'!E:E,"Blocked")</f>
        <v>1</v>
      </c>
    </row>
    <row r="27" customFormat="false" ht="15" hidden="false" customHeight="false" outlineLevel="0" collapsed="false">
      <c r="A27" s="27" t="s">
        <v>37</v>
      </c>
      <c r="B27" s="28" t="n">
        <f aca="false">COUNTIF('Tracker Board'!C:C,A27)</f>
        <v>1</v>
      </c>
      <c r="C27" s="28" t="n">
        <f aca="false">COUNTIFS('Tracker Board'!C:C,A27,'Tracker Board'!F:F,"High")</f>
        <v>1</v>
      </c>
      <c r="D27" s="28" t="n">
        <f aca="false">COUNTIFS('Tracker Board'!C:C,A27,'Tracker Board'!E:E,"In Progress")</f>
        <v>0</v>
      </c>
      <c r="E27" s="28" t="n">
        <f aca="false">COUNTIFS('Tracker Board'!C:C,A27,'Tracker Board'!E:E,"Blocked")</f>
        <v>0</v>
      </c>
    </row>
    <row r="28" customFormat="false" ht="15" hidden="false" customHeight="false" outlineLevel="0" collapsed="false">
      <c r="A28" s="27" t="s">
        <v>90</v>
      </c>
      <c r="B28" s="28" t="n">
        <f aca="false">COUNTIF('Tracker Board'!C:C,A28)</f>
        <v>1</v>
      </c>
      <c r="C28" s="28" t="n">
        <f aca="false">COUNTIFS('Tracker Board'!C:C,A28,'Tracker Board'!F:F,"High")</f>
        <v>0</v>
      </c>
      <c r="D28" s="28" t="n">
        <f aca="false">COUNTIFS('Tracker Board'!C:C,A28,'Tracker Board'!E:E,"In Progress")</f>
        <v>0</v>
      </c>
      <c r="E28" s="28" t="n">
        <f aca="false">COUNTIFS('Tracker Board'!C:C,A28,'Tracker Board'!E:E,"Blocked")</f>
        <v>0</v>
      </c>
    </row>
    <row r="29" customFormat="false" ht="15" hidden="false" customHeight="false" outlineLevel="0" collapsed="false">
      <c r="A29" s="27" t="s">
        <v>98</v>
      </c>
      <c r="B29" s="28" t="n">
        <f aca="false">COUNTIF('Tracker Board'!C:C,A29)</f>
        <v>1</v>
      </c>
      <c r="C29" s="28" t="n">
        <f aca="false">COUNTIFS('Tracker Board'!C:C,A29,'Tracker Board'!F:F,"High")</f>
        <v>1</v>
      </c>
      <c r="D29" s="28" t="n">
        <f aca="false">COUNTIFS('Tracker Board'!C:C,A29,'Tracker Board'!E:E,"In Progress")</f>
        <v>0</v>
      </c>
      <c r="E29" s="28" t="n">
        <f aca="false">COUNTIFS('Tracker Board'!C:C,A29,'Tracker Board'!E:E,"Blocked")</f>
        <v>0</v>
      </c>
    </row>
    <row r="30" customFormat="false" ht="15" hidden="false" customHeight="false" outlineLevel="0" collapsed="false">
      <c r="A30" s="27" t="s">
        <v>108</v>
      </c>
      <c r="B30" s="28" t="n">
        <f aca="false">COUNTIF('Tracker Board'!C:C,A30)</f>
        <v>1</v>
      </c>
      <c r="C30" s="28" t="n">
        <f aca="false">COUNTIFS('Tracker Board'!C:C,A30,'Tracker Board'!F:F,"High")</f>
        <v>1</v>
      </c>
      <c r="D30" s="28" t="n">
        <f aca="false">COUNTIFS('Tracker Board'!C:C,A30,'Tracker Board'!E:E,"In Progress")</f>
        <v>1</v>
      </c>
      <c r="E30" s="28" t="n">
        <f aca="false">COUNTIFS('Tracker Board'!C:C,A30,'Tracker Board'!E:E,"Blocked")</f>
        <v>0</v>
      </c>
    </row>
    <row r="31" customFormat="false" ht="15" hidden="false" customHeight="false" outlineLevel="0" collapsed="false">
      <c r="A31" s="27" t="s">
        <v>128</v>
      </c>
      <c r="B31" s="28" t="n">
        <f aca="false">COUNTIF('Tracker Board'!C:C,A31)</f>
        <v>1</v>
      </c>
      <c r="C31" s="28" t="n">
        <f aca="false">COUNTIFS('Tracker Board'!C:C,A31,'Tracker Board'!F:F,"High")</f>
        <v>1</v>
      </c>
      <c r="D31" s="28" t="n">
        <f aca="false">COUNTIFS('Tracker Board'!C:C,A31,'Tracker Board'!E:E,"In Progress")</f>
        <v>0</v>
      </c>
      <c r="E31" s="28" t="n">
        <f aca="false">COUNTIFS('Tracker Board'!C:C,A31,'Tracker Board'!E:E,"Blocked")</f>
        <v>0</v>
      </c>
    </row>
    <row r="32" customFormat="false" ht="15" hidden="false" customHeight="false" outlineLevel="0" collapsed="false">
      <c r="A32" s="27" t="s">
        <v>132</v>
      </c>
      <c r="B32" s="28" t="n">
        <f aca="false">COUNTIF('Tracker Board'!C:C,A32)</f>
        <v>1</v>
      </c>
      <c r="C32" s="28" t="n">
        <f aca="false">COUNTIFS('Tracker Board'!C:C,A32,'Tracker Board'!F:F,"High")</f>
        <v>1</v>
      </c>
      <c r="D32" s="28" t="n">
        <f aca="false">COUNTIFS('Tracker Board'!C:C,A32,'Tracker Board'!E:E,"In Progress")</f>
        <v>1</v>
      </c>
      <c r="E32" s="28" t="n">
        <f aca="false">COUNTIFS('Tracker Board'!C:C,A32,'Tracker Board'!E:E,"Blocked")</f>
        <v>0</v>
      </c>
    </row>
    <row r="33" customFormat="false" ht="15" hidden="false" customHeight="false" outlineLevel="0" collapsed="false">
      <c r="A33" s="27" t="s">
        <v>137</v>
      </c>
      <c r="B33" s="28" t="n">
        <f aca="false">COUNTIF('Tracker Board'!C:C,A33)</f>
        <v>1</v>
      </c>
      <c r="C33" s="28" t="n">
        <f aca="false">COUNTIFS('Tracker Board'!C:C,A33,'Tracker Board'!F:F,"High")</f>
        <v>0</v>
      </c>
      <c r="D33" s="28" t="n">
        <f aca="false">COUNTIFS('Tracker Board'!C:C,A33,'Tracker Board'!E:E,"In Progress")</f>
        <v>1</v>
      </c>
      <c r="E33" s="28" t="n">
        <f aca="false">COUNTIFS('Tracker Board'!C:C,A33,'Tracker Board'!E:E,"Blocked")</f>
        <v>0</v>
      </c>
    </row>
    <row r="34" customFormat="false" ht="15" hidden="false" customHeight="false" outlineLevel="0" collapsed="false">
      <c r="A34" s="27" t="s">
        <v>141</v>
      </c>
      <c r="B34" s="28" t="n">
        <f aca="false">COUNTIF('Tracker Board'!C:C,A34)</f>
        <v>1</v>
      </c>
      <c r="C34" s="28" t="n">
        <f aca="false">COUNTIFS('Tracker Board'!C:C,A34,'Tracker Board'!F:F,"High")</f>
        <v>0</v>
      </c>
      <c r="D34" s="28" t="n">
        <f aca="false">COUNTIFS('Tracker Board'!C:C,A34,'Tracker Board'!E:E,"In Progress")</f>
        <v>1</v>
      </c>
      <c r="E34" s="28" t="n">
        <f aca="false">COUNTIFS('Tracker Board'!C:C,A34,'Tracker Board'!E:E,"Blocked")</f>
        <v>0</v>
      </c>
    </row>
    <row r="35" customFormat="false" ht="15" hidden="false" customHeight="false" outlineLevel="0" collapsed="false">
      <c r="A35" s="27" t="s">
        <v>144</v>
      </c>
      <c r="B35" s="28" t="n">
        <f aca="false">COUNTIF('Tracker Board'!C:C,A35)</f>
        <v>1</v>
      </c>
      <c r="C35" s="28" t="n">
        <f aca="false">COUNTIFS('Tracker Board'!C:C,A35,'Tracker Board'!F:F,"High")</f>
        <v>0</v>
      </c>
      <c r="D35" s="28" t="n">
        <f aca="false">COUNTIFS('Tracker Board'!C:C,A35,'Tracker Board'!E:E,"In Progress")</f>
        <v>1</v>
      </c>
      <c r="E35" s="28" t="n">
        <f aca="false">COUNTIFS('Tracker Board'!C:C,A35,'Tracker Board'!E:E,"Blocked")</f>
        <v>0</v>
      </c>
    </row>
    <row r="36" customFormat="false" ht="15" hidden="false" customHeight="false" outlineLevel="0" collapsed="false">
      <c r="A36" s="27" t="s">
        <v>151</v>
      </c>
      <c r="B36" s="28" t="n">
        <f aca="false">COUNTIF('Tracker Board'!C:C,A36)</f>
        <v>1</v>
      </c>
      <c r="C36" s="28" t="n">
        <f aca="false">COUNTIFS('Tracker Board'!C:C,A36,'Tracker Board'!F:F,"High")</f>
        <v>1</v>
      </c>
      <c r="D36" s="28" t="n">
        <f aca="false">COUNTIFS('Tracker Board'!C:C,A36,'Tracker Board'!E:E,"In Progress")</f>
        <v>0</v>
      </c>
      <c r="E36" s="28" t="n">
        <f aca="false">COUNTIFS('Tracker Board'!C:C,A36,'Tracker Board'!E:E,"Blocked")</f>
        <v>0</v>
      </c>
    </row>
    <row r="37" customFormat="false" ht="15" hidden="false" customHeight="false" outlineLevel="0" collapsed="false">
      <c r="A37" s="27" t="s">
        <v>157</v>
      </c>
      <c r="B37" s="28" t="n">
        <f aca="false">COUNTIF('Tracker Board'!C:C,A37)</f>
        <v>1</v>
      </c>
      <c r="C37" s="28" t="n">
        <f aca="false">COUNTIFS('Tracker Board'!C:C,A37,'Tracker Board'!F:F,"High")</f>
        <v>0</v>
      </c>
      <c r="D37" s="28" t="n">
        <f aca="false">COUNTIFS('Tracker Board'!C:C,A37,'Tracker Board'!E:E,"In Progress")</f>
        <v>0</v>
      </c>
      <c r="E37" s="28" t="n">
        <f aca="false">COUNTIFS('Tracker Board'!C:C,A37,'Tracker Board'!E:E,"Blocked")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55"/>
  </cols>
  <sheetData>
    <row r="1" customFormat="false" ht="19.7" hidden="false" customHeight="false" outlineLevel="0" collapsed="false">
      <c r="A1" s="29" t="s">
        <v>172</v>
      </c>
      <c r="B1" s="29"/>
      <c r="C1" s="29"/>
      <c r="D1" s="29"/>
    </row>
    <row r="3" customFormat="false" ht="15" hidden="false" customHeight="false" outlineLevel="0" collapsed="false">
      <c r="A3" s="30" t="s">
        <v>16</v>
      </c>
      <c r="B3" s="30"/>
      <c r="C3" s="30"/>
      <c r="D3" s="30"/>
    </row>
    <row r="4" customFormat="false" ht="15" hidden="false" customHeight="false" outlineLevel="0" collapsed="false">
      <c r="A4" s="31"/>
      <c r="B4" s="31" t="s">
        <v>173</v>
      </c>
      <c r="C4" s="31" t="s">
        <v>174</v>
      </c>
      <c r="D4" s="31" t="s">
        <v>175</v>
      </c>
    </row>
    <row r="5" customFormat="false" ht="15" hidden="false" customHeight="false" outlineLevel="0" collapsed="false">
      <c r="A5" s="32" t="s">
        <v>176</v>
      </c>
      <c r="B5" s="27" t="s">
        <v>177</v>
      </c>
      <c r="C5" s="27" t="s">
        <v>178</v>
      </c>
      <c r="D5" s="27" t="s">
        <v>179</v>
      </c>
    </row>
    <row r="6" customFormat="false" ht="15" hidden="false" customHeight="false" outlineLevel="0" collapsed="false">
      <c r="A6" s="32" t="s">
        <v>180</v>
      </c>
      <c r="B6" s="27" t="s">
        <v>181</v>
      </c>
      <c r="C6" s="27" t="s">
        <v>182</v>
      </c>
      <c r="D6" s="27" t="s">
        <v>183</v>
      </c>
    </row>
    <row r="7" customFormat="false" ht="15" hidden="false" customHeight="false" outlineLevel="0" collapsed="false">
      <c r="A7" s="32" t="s">
        <v>184</v>
      </c>
      <c r="B7" s="27" t="s">
        <v>185</v>
      </c>
      <c r="C7" s="27" t="s">
        <v>40</v>
      </c>
      <c r="D7" s="27" t="s">
        <v>186</v>
      </c>
    </row>
    <row r="8" customFormat="false" ht="15" hidden="false" customHeight="false" outlineLevel="0" collapsed="false">
      <c r="A8" s="32" t="s">
        <v>187</v>
      </c>
      <c r="B8" s="27"/>
      <c r="C8" s="27" t="s">
        <v>188</v>
      </c>
      <c r="D8" s="27" t="s">
        <v>189</v>
      </c>
    </row>
    <row r="10" customFormat="false" ht="15" hidden="false" customHeight="false" outlineLevel="0" collapsed="false">
      <c r="A10" s="30" t="s">
        <v>46</v>
      </c>
      <c r="B10" s="30"/>
      <c r="C10" s="30"/>
      <c r="D10" s="30"/>
    </row>
    <row r="11" customFormat="false" ht="15" hidden="false" customHeight="false" outlineLevel="0" collapsed="false">
      <c r="A11" s="31"/>
      <c r="B11" s="31" t="s">
        <v>173</v>
      </c>
      <c r="C11" s="31" t="s">
        <v>174</v>
      </c>
      <c r="D11" s="31" t="s">
        <v>175</v>
      </c>
    </row>
    <row r="12" customFormat="false" ht="15" hidden="false" customHeight="false" outlineLevel="0" collapsed="false">
      <c r="A12" s="32" t="s">
        <v>176</v>
      </c>
      <c r="B12" s="27" t="s">
        <v>190</v>
      </c>
      <c r="C12" s="27" t="s">
        <v>191</v>
      </c>
      <c r="D12" s="27" t="s">
        <v>192</v>
      </c>
    </row>
    <row r="13" customFormat="false" ht="15" hidden="false" customHeight="false" outlineLevel="0" collapsed="false">
      <c r="A13" s="32" t="s">
        <v>180</v>
      </c>
      <c r="B13" s="27" t="s">
        <v>193</v>
      </c>
      <c r="C13" s="27" t="s">
        <v>194</v>
      </c>
      <c r="D13" s="27" t="s">
        <v>195</v>
      </c>
    </row>
    <row r="15" customFormat="false" ht="15" hidden="false" customHeight="false" outlineLevel="0" collapsed="false">
      <c r="A15" s="30" t="s">
        <v>25</v>
      </c>
      <c r="B15" s="30"/>
      <c r="C15" s="30"/>
      <c r="D15" s="30"/>
    </row>
    <row r="16" customFormat="false" ht="15" hidden="false" customHeight="false" outlineLevel="0" collapsed="false">
      <c r="A16" s="31"/>
      <c r="B16" s="31" t="s">
        <v>173</v>
      </c>
      <c r="C16" s="31" t="s">
        <v>174</v>
      </c>
      <c r="D16" s="31" t="s">
        <v>175</v>
      </c>
    </row>
    <row r="17" customFormat="false" ht="15" hidden="false" customHeight="false" outlineLevel="0" collapsed="false">
      <c r="A17" s="32" t="s">
        <v>176</v>
      </c>
      <c r="B17" s="27" t="s">
        <v>196</v>
      </c>
      <c r="C17" s="27" t="s">
        <v>197</v>
      </c>
      <c r="D17" s="27" t="s">
        <v>198</v>
      </c>
    </row>
    <row r="18" customFormat="false" ht="15" hidden="false" customHeight="false" outlineLevel="0" collapsed="false">
      <c r="A18" s="32" t="s">
        <v>180</v>
      </c>
      <c r="B18" s="27" t="s">
        <v>199</v>
      </c>
      <c r="C18" s="27" t="s">
        <v>200</v>
      </c>
      <c r="D18" s="27" t="s">
        <v>201</v>
      </c>
    </row>
    <row r="20" customFormat="false" ht="15" hidden="false" customHeight="false" outlineLevel="0" collapsed="false">
      <c r="A20" s="30" t="s">
        <v>72</v>
      </c>
      <c r="B20" s="30"/>
      <c r="C20" s="30"/>
      <c r="D20" s="30"/>
    </row>
    <row r="21" customFormat="false" ht="15" hidden="false" customHeight="false" outlineLevel="0" collapsed="false">
      <c r="A21" s="31"/>
      <c r="B21" s="31" t="s">
        <v>173</v>
      </c>
      <c r="C21" s="31" t="s">
        <v>174</v>
      </c>
      <c r="D21" s="31" t="s">
        <v>175</v>
      </c>
    </row>
    <row r="22" customFormat="false" ht="15" hidden="false" customHeight="false" outlineLevel="0" collapsed="false">
      <c r="A22" s="32" t="s">
        <v>176</v>
      </c>
      <c r="B22" s="27" t="s">
        <v>202</v>
      </c>
      <c r="C22" s="27" t="s">
        <v>203</v>
      </c>
      <c r="D22" s="27" t="s">
        <v>204</v>
      </c>
    </row>
    <row r="23" customFormat="false" ht="15" hidden="false" customHeight="false" outlineLevel="0" collapsed="false">
      <c r="A23" s="32" t="s">
        <v>180</v>
      </c>
      <c r="B23" s="27" t="s">
        <v>205</v>
      </c>
      <c r="C23" s="27" t="s">
        <v>206</v>
      </c>
      <c r="D23" s="27" t="s">
        <v>207</v>
      </c>
    </row>
    <row r="24" customFormat="false" ht="15" hidden="false" customHeight="false" outlineLevel="0" collapsed="false">
      <c r="A24" s="32" t="s">
        <v>184</v>
      </c>
      <c r="B24" s="27"/>
      <c r="C24" s="27"/>
      <c r="D24" s="27" t="s">
        <v>208</v>
      </c>
    </row>
    <row r="26" customFormat="false" ht="15" hidden="false" customHeight="false" outlineLevel="0" collapsed="false">
      <c r="A26" s="30" t="s">
        <v>28</v>
      </c>
      <c r="B26" s="30"/>
      <c r="C26" s="30"/>
      <c r="D26" s="30"/>
    </row>
    <row r="27" customFormat="false" ht="15" hidden="false" customHeight="false" outlineLevel="0" collapsed="false">
      <c r="A27" s="31"/>
      <c r="B27" s="31" t="s">
        <v>173</v>
      </c>
      <c r="C27" s="31" t="s">
        <v>174</v>
      </c>
      <c r="D27" s="31" t="s">
        <v>175</v>
      </c>
    </row>
    <row r="28" customFormat="false" ht="15" hidden="false" customHeight="false" outlineLevel="0" collapsed="false">
      <c r="A28" s="32" t="s">
        <v>176</v>
      </c>
      <c r="B28" s="27" t="s">
        <v>209</v>
      </c>
      <c r="C28" s="27" t="s">
        <v>210</v>
      </c>
      <c r="D28" s="27" t="s">
        <v>211</v>
      </c>
    </row>
    <row r="29" customFormat="false" ht="15" hidden="false" customHeight="false" outlineLevel="0" collapsed="false">
      <c r="A29" s="32" t="s">
        <v>180</v>
      </c>
      <c r="B29" s="27"/>
      <c r="C29" s="27" t="s">
        <v>212</v>
      </c>
      <c r="D29" s="27" t="s">
        <v>213</v>
      </c>
    </row>
    <row r="31" customFormat="false" ht="15" hidden="false" customHeight="false" outlineLevel="0" collapsed="false">
      <c r="A31" s="30" t="s">
        <v>54</v>
      </c>
      <c r="B31" s="30"/>
      <c r="C31" s="30"/>
      <c r="D31" s="30"/>
    </row>
    <row r="32" customFormat="false" ht="15" hidden="false" customHeight="false" outlineLevel="0" collapsed="false">
      <c r="A32" s="31"/>
      <c r="B32" s="31" t="s">
        <v>173</v>
      </c>
      <c r="C32" s="31" t="s">
        <v>174</v>
      </c>
      <c r="D32" s="31" t="s">
        <v>175</v>
      </c>
    </row>
    <row r="33" customFormat="false" ht="15" hidden="false" customHeight="false" outlineLevel="0" collapsed="false">
      <c r="A33" s="32" t="s">
        <v>176</v>
      </c>
      <c r="B33" s="27" t="s">
        <v>214</v>
      </c>
      <c r="C33" s="27" t="s">
        <v>215</v>
      </c>
      <c r="D33" s="27" t="s">
        <v>216</v>
      </c>
    </row>
    <row r="34" customFormat="false" ht="15" hidden="false" customHeight="false" outlineLevel="0" collapsed="false">
      <c r="A34" s="32" t="s">
        <v>180</v>
      </c>
      <c r="B34" s="27"/>
      <c r="C34" s="27" t="s">
        <v>217</v>
      </c>
      <c r="D34" s="27" t="s">
        <v>218</v>
      </c>
    </row>
    <row r="36" customFormat="false" ht="15" hidden="false" customHeight="false" outlineLevel="0" collapsed="false">
      <c r="A36" s="30" t="s">
        <v>121</v>
      </c>
      <c r="B36" s="30"/>
      <c r="C36" s="30"/>
      <c r="D36" s="30"/>
    </row>
    <row r="37" customFormat="false" ht="15" hidden="false" customHeight="false" outlineLevel="0" collapsed="false">
      <c r="A37" s="31"/>
      <c r="B37" s="31" t="s">
        <v>173</v>
      </c>
      <c r="C37" s="31" t="s">
        <v>174</v>
      </c>
      <c r="D37" s="31" t="s">
        <v>175</v>
      </c>
    </row>
    <row r="38" customFormat="false" ht="15" hidden="false" customHeight="false" outlineLevel="0" collapsed="false">
      <c r="A38" s="32" t="s">
        <v>176</v>
      </c>
      <c r="B38" s="27" t="s">
        <v>219</v>
      </c>
      <c r="C38" s="27" t="s">
        <v>220</v>
      </c>
      <c r="D38" s="27" t="s">
        <v>221</v>
      </c>
    </row>
    <row r="39" customFormat="false" ht="15" hidden="false" customHeight="false" outlineLevel="0" collapsed="false">
      <c r="A39" s="32" t="s">
        <v>180</v>
      </c>
      <c r="B39" s="27" t="s">
        <v>222</v>
      </c>
      <c r="C39" s="27" t="s">
        <v>223</v>
      </c>
      <c r="D39" s="27"/>
    </row>
  </sheetData>
  <mergeCells count="8">
    <mergeCell ref="A1:D1"/>
    <mergeCell ref="A3:D3"/>
    <mergeCell ref="A10:D10"/>
    <mergeCell ref="A15:D15"/>
    <mergeCell ref="A20:D20"/>
    <mergeCell ref="A26:D26"/>
    <mergeCell ref="A31:D3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33" t="s">
        <v>224</v>
      </c>
      <c r="B1" s="33"/>
      <c r="C1" s="33"/>
      <c r="D1" s="33"/>
      <c r="E1" s="33"/>
    </row>
    <row r="3" customFormat="false" ht="15" hidden="false" customHeight="false" outlineLevel="0" collapsed="false">
      <c r="A3" s="34" t="s">
        <v>225</v>
      </c>
      <c r="B3" s="34" t="s">
        <v>226</v>
      </c>
      <c r="C3" s="34" t="s">
        <v>227</v>
      </c>
      <c r="D3" s="34" t="s">
        <v>228</v>
      </c>
      <c r="E3" s="34" t="s">
        <v>8</v>
      </c>
    </row>
    <row r="4" customFormat="false" ht="15" hidden="false" customHeight="false" outlineLevel="0" collapsed="false">
      <c r="A4" s="35" t="s">
        <v>229</v>
      </c>
      <c r="B4" s="35" t="s">
        <v>230</v>
      </c>
      <c r="C4" s="35" t="s">
        <v>231</v>
      </c>
      <c r="D4" s="35" t="s">
        <v>232</v>
      </c>
      <c r="E4" s="35" t="s">
        <v>233</v>
      </c>
    </row>
    <row r="5" customFormat="false" ht="15" hidden="false" customHeight="false" outlineLevel="0" collapsed="false">
      <c r="A5" s="27" t="s">
        <v>229</v>
      </c>
      <c r="B5" s="27" t="s">
        <v>230</v>
      </c>
      <c r="C5" s="27" t="s">
        <v>234</v>
      </c>
      <c r="D5" s="27" t="s">
        <v>235</v>
      </c>
      <c r="E5" s="27" t="s">
        <v>236</v>
      </c>
    </row>
    <row r="6" customFormat="false" ht="15" hidden="false" customHeight="false" outlineLevel="0" collapsed="false">
      <c r="A6" s="35" t="s">
        <v>229</v>
      </c>
      <c r="B6" s="35" t="s">
        <v>230</v>
      </c>
      <c r="C6" s="35" t="s">
        <v>237</v>
      </c>
      <c r="D6" s="35" t="s">
        <v>238</v>
      </c>
      <c r="E6" s="35" t="s">
        <v>239</v>
      </c>
    </row>
    <row r="7" customFormat="false" ht="15" hidden="false" customHeight="false" outlineLevel="0" collapsed="false">
      <c r="A7" s="27" t="s">
        <v>229</v>
      </c>
      <c r="B7" s="27" t="s">
        <v>230</v>
      </c>
      <c r="C7" s="27" t="s">
        <v>240</v>
      </c>
      <c r="D7" s="27" t="s">
        <v>241</v>
      </c>
      <c r="E7" s="27" t="s">
        <v>242</v>
      </c>
    </row>
    <row r="8" customFormat="false" ht="15" hidden="false" customHeight="false" outlineLevel="0" collapsed="false">
      <c r="A8" s="35" t="s">
        <v>229</v>
      </c>
      <c r="B8" s="35" t="s">
        <v>230</v>
      </c>
      <c r="C8" s="35" t="s">
        <v>243</v>
      </c>
      <c r="D8" s="35" t="s">
        <v>244</v>
      </c>
      <c r="E8" s="35" t="s">
        <v>245</v>
      </c>
    </row>
    <row r="9" customFormat="false" ht="15" hidden="false" customHeight="false" outlineLevel="0" collapsed="false">
      <c r="A9" s="27" t="s">
        <v>229</v>
      </c>
      <c r="B9" s="27" t="s">
        <v>230</v>
      </c>
      <c r="C9" s="27" t="s">
        <v>246</v>
      </c>
      <c r="D9" s="27" t="s">
        <v>244</v>
      </c>
      <c r="E9" s="27" t="s">
        <v>245</v>
      </c>
    </row>
    <row r="10" customFormat="false" ht="15" hidden="false" customHeight="false" outlineLevel="0" collapsed="false">
      <c r="A10" s="35" t="s">
        <v>229</v>
      </c>
      <c r="B10" s="35" t="s">
        <v>230</v>
      </c>
      <c r="C10" s="35" t="s">
        <v>247</v>
      </c>
      <c r="D10" s="35" t="s">
        <v>244</v>
      </c>
      <c r="E10" s="35" t="s">
        <v>245</v>
      </c>
    </row>
    <row r="11" customFormat="false" ht="15" hidden="false" customHeight="false" outlineLevel="0" collapsed="false">
      <c r="A11" s="27" t="s">
        <v>229</v>
      </c>
      <c r="B11" s="27" t="s">
        <v>248</v>
      </c>
      <c r="C11" s="27" t="s">
        <v>249</v>
      </c>
      <c r="D11" s="27" t="s">
        <v>250</v>
      </c>
      <c r="E11" s="27" t="s">
        <v>251</v>
      </c>
    </row>
    <row r="12" customFormat="false" ht="15" hidden="false" customHeight="false" outlineLevel="0" collapsed="false">
      <c r="A12" s="35" t="s">
        <v>229</v>
      </c>
      <c r="B12" s="35" t="s">
        <v>248</v>
      </c>
      <c r="C12" s="35" t="s">
        <v>252</v>
      </c>
      <c r="D12" s="35" t="s">
        <v>253</v>
      </c>
      <c r="E12" s="35" t="s">
        <v>254</v>
      </c>
    </row>
    <row r="13" customFormat="false" ht="15" hidden="false" customHeight="false" outlineLevel="0" collapsed="false">
      <c r="A13" s="27" t="s">
        <v>229</v>
      </c>
      <c r="B13" s="27" t="s">
        <v>255</v>
      </c>
      <c r="C13" s="27" t="s">
        <v>256</v>
      </c>
      <c r="D13" s="27" t="s">
        <v>257</v>
      </c>
      <c r="E13" s="27" t="s">
        <v>258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33" t="s">
        <v>259</v>
      </c>
      <c r="B1" s="33"/>
      <c r="C1" s="33"/>
      <c r="D1" s="33"/>
    </row>
    <row r="3" customFormat="false" ht="17.35" hidden="false" customHeight="false" outlineLevel="0" collapsed="false">
      <c r="A3" s="25" t="s">
        <v>260</v>
      </c>
    </row>
    <row r="4" customFormat="false" ht="15" hidden="false" customHeight="false" outlineLevel="0" collapsed="false">
      <c r="A4" s="34" t="s">
        <v>261</v>
      </c>
      <c r="B4" s="34" t="s">
        <v>262</v>
      </c>
      <c r="C4" s="34" t="s">
        <v>4</v>
      </c>
      <c r="D4" s="34" t="s">
        <v>263</v>
      </c>
    </row>
    <row r="5" customFormat="false" ht="15" hidden="false" customHeight="false" outlineLevel="0" collapsed="false">
      <c r="A5" s="27" t="s">
        <v>231</v>
      </c>
      <c r="B5" s="27" t="s">
        <v>264</v>
      </c>
      <c r="C5" s="27" t="s">
        <v>265</v>
      </c>
      <c r="D5" s="27" t="s">
        <v>19</v>
      </c>
    </row>
    <row r="6" customFormat="false" ht="15" hidden="false" customHeight="false" outlineLevel="0" collapsed="false">
      <c r="A6" s="27" t="s">
        <v>234</v>
      </c>
      <c r="B6" s="27" t="s">
        <v>266</v>
      </c>
      <c r="C6" s="27" t="s">
        <v>265</v>
      </c>
      <c r="D6" s="27" t="s">
        <v>19</v>
      </c>
    </row>
    <row r="7" customFormat="false" ht="15" hidden="false" customHeight="false" outlineLevel="0" collapsed="false">
      <c r="A7" s="27" t="s">
        <v>237</v>
      </c>
      <c r="B7" s="27" t="s">
        <v>267</v>
      </c>
      <c r="C7" s="27" t="s">
        <v>265</v>
      </c>
      <c r="D7" s="27" t="s">
        <v>19</v>
      </c>
    </row>
    <row r="8" customFormat="false" ht="15" hidden="false" customHeight="false" outlineLevel="0" collapsed="false">
      <c r="A8" s="27" t="s">
        <v>240</v>
      </c>
      <c r="B8" s="27" t="s">
        <v>268</v>
      </c>
      <c r="C8" s="27" t="s">
        <v>265</v>
      </c>
      <c r="D8" s="27" t="s">
        <v>19</v>
      </c>
    </row>
    <row r="9" customFormat="false" ht="15" hidden="false" customHeight="false" outlineLevel="0" collapsed="false">
      <c r="A9" s="27" t="s">
        <v>243</v>
      </c>
      <c r="B9" s="27" t="s">
        <v>269</v>
      </c>
      <c r="C9" s="27" t="s">
        <v>270</v>
      </c>
      <c r="D9" s="27" t="s">
        <v>19</v>
      </c>
    </row>
    <row r="10" customFormat="false" ht="15" hidden="false" customHeight="false" outlineLevel="0" collapsed="false">
      <c r="A10" s="27" t="s">
        <v>246</v>
      </c>
      <c r="B10" s="27" t="s">
        <v>271</v>
      </c>
      <c r="C10" s="27" t="s">
        <v>270</v>
      </c>
      <c r="D10" s="27" t="s">
        <v>19</v>
      </c>
    </row>
    <row r="11" customFormat="false" ht="15" hidden="false" customHeight="false" outlineLevel="0" collapsed="false">
      <c r="A11" s="27" t="s">
        <v>247</v>
      </c>
      <c r="B11" s="27" t="s">
        <v>272</v>
      </c>
      <c r="C11" s="27" t="s">
        <v>270</v>
      </c>
      <c r="D11" s="27" t="s">
        <v>19</v>
      </c>
    </row>
    <row r="14" customFormat="false" ht="17.35" hidden="false" customHeight="false" outlineLevel="0" collapsed="false">
      <c r="A14" s="25" t="s">
        <v>273</v>
      </c>
    </row>
    <row r="15" customFormat="false" ht="15" hidden="false" customHeight="false" outlineLevel="0" collapsed="false">
      <c r="A15" s="34" t="s">
        <v>7</v>
      </c>
      <c r="B15" s="34" t="s">
        <v>274</v>
      </c>
      <c r="C15" s="34" t="s">
        <v>4</v>
      </c>
      <c r="D15" s="34" t="s">
        <v>263</v>
      </c>
    </row>
    <row r="16" customFormat="false" ht="15" hidden="false" customHeight="false" outlineLevel="0" collapsed="false">
      <c r="A16" s="27" t="s">
        <v>249</v>
      </c>
      <c r="B16" s="27" t="s">
        <v>275</v>
      </c>
      <c r="C16" s="27" t="s">
        <v>265</v>
      </c>
      <c r="D16" s="27" t="s">
        <v>19</v>
      </c>
    </row>
    <row r="17" customFormat="false" ht="15" hidden="false" customHeight="false" outlineLevel="0" collapsed="false">
      <c r="A17" s="27" t="s">
        <v>252</v>
      </c>
      <c r="B17" s="27" t="s">
        <v>276</v>
      </c>
      <c r="C17" s="27" t="s">
        <v>265</v>
      </c>
      <c r="D17" s="27" t="s">
        <v>19</v>
      </c>
    </row>
    <row r="19" customFormat="false" ht="17.35" hidden="false" customHeight="false" outlineLevel="0" collapsed="false">
      <c r="A19" s="25" t="s">
        <v>277</v>
      </c>
    </row>
    <row r="20" customFormat="false" ht="15" hidden="false" customHeight="false" outlineLevel="0" collapsed="false">
      <c r="A20" s="36" t="s">
        <v>278</v>
      </c>
      <c r="B20" s="37" t="s">
        <v>279</v>
      </c>
    </row>
    <row r="21" customFormat="false" ht="15" hidden="false" customHeight="false" outlineLevel="0" collapsed="false">
      <c r="A21" s="36" t="s">
        <v>280</v>
      </c>
      <c r="B21" s="37" t="s">
        <v>281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2026-03-02T20:15:33Z</dcterms:created>
  <dc:creator>openpyxl</dc:creator>
  <dc:description/>
  <dc:language>en-US</dc:language>
  <cp:lastModifiedBy/>
  <dcterms:modified xsi:type="dcterms:W3CDTF">2026-03-02T20:15:33Z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